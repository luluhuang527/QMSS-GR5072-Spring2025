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51196F13-6AD0-C1B8-E2B4-A1F9AE17003E}"/>
  <workbookPr codeName="ThisWorkbook" hidePivotFieldList="1"/>
  <mc:AlternateContent xmlns:mc="http://schemas.openxmlformats.org/markup-compatibility/2006">
    <mc:Choice Requires="x15">
      <x15ac:absPath xmlns:x15ac="http://schemas.microsoft.com/office/spreadsheetml/2010/11/ac" url="C:\Users\nicho\OneDrive\Desktop\MDS\QMSS-GR5072-Spring2025\Week 9\Class Activity 3\"/>
    </mc:Choice>
  </mc:AlternateContent>
  <xr:revisionPtr revIDLastSave="0" documentId="13_ncr:1_{7FD57DB9-F5CE-4728-A7A7-683FBA16C2F9}" xr6:coauthVersionLast="47" xr6:coauthVersionMax="47" xr10:uidLastSave="{00000000-0000-0000-0000-000000000000}"/>
  <bookViews>
    <workbookView xWindow="-98" yWindow="-98" windowWidth="20715" windowHeight="13276" tabRatio="923" activeTab="1" xr2:uid="{00000000-000D-0000-FFFF-FFFF00000000}"/>
  </bookViews>
  <sheets>
    <sheet name="Exercise #1" sheetId="40" r:id="rId1"/>
    <sheet name="Lookup Formulas" sheetId="61" r:id="rId2"/>
    <sheet name="Exercise #2" sheetId="41" r:id="rId3"/>
    <sheet name="Key | Exercise #2" sheetId="118" r:id="rId4"/>
    <sheet name="Logical Formulas" sheetId="62" r:id="rId5"/>
    <sheet name="Exercise #3" sheetId="43" r:id="rId6"/>
    <sheet name="Key | Exercise #3" sheetId="80" r:id="rId7"/>
    <sheet name="Math and Stats Formulas" sheetId="13" r:id="rId8"/>
    <sheet name="Exercise #4" sheetId="81" r:id="rId9"/>
    <sheet name="Key | Exercise #4" sheetId="82" r:id="rId10"/>
    <sheet name="Text Formulas" sheetId="88" r:id="rId11"/>
    <sheet name="General Shortcuts" sheetId="92" r:id="rId12"/>
    <sheet name="Exercise #5" sheetId="50" r:id="rId13"/>
    <sheet name="Key | Exercise #5" sheetId="83" r:id="rId14"/>
    <sheet name="Formatting Shortcuts" sheetId="90" r:id="rId15"/>
    <sheet name="Exercise #6 Data" sheetId="97" r:id="rId16"/>
    <sheet name="Exercise #6" sheetId="100" r:id="rId17"/>
    <sheet name="Key | Exercise #6" sheetId="117" r:id="rId18"/>
    <sheet name="Conditional Formatting &amp; DV" sheetId="99" r:id="rId19"/>
  </sheets>
  <definedNames>
    <definedName name="_Fill" localSheetId="8" hidden="1">#REF!</definedName>
    <definedName name="_Fill" localSheetId="3" hidden="1">#REF!</definedName>
    <definedName name="_Fill" localSheetId="6" hidden="1">#REF!</definedName>
    <definedName name="_Fill" localSheetId="9" hidden="1">#REF!</definedName>
    <definedName name="_Fill" localSheetId="13" hidden="1">#REF!</definedName>
    <definedName name="_Fill" hidden="1">#REF!</definedName>
    <definedName name="_xlnm._FilterDatabase" localSheetId="16" hidden="1">'Exercise #6'!$B$15:$G$115</definedName>
    <definedName name="_xlnm._FilterDatabase" localSheetId="15" hidden="1">'Exercise #6 Data'!$B$2:$G$92</definedName>
    <definedName name="_xlnm._FilterDatabase" localSheetId="17" hidden="1">'Key | Exercise #6'!$B$15:$G$115</definedName>
    <definedName name="CheckArraySize" localSheetId="3">IF(ISNUMBER(Set.Size),(ROW()-Base.Row)&lt;Set.Size,TRUE)</definedName>
    <definedName name="CheckArraySize" localSheetId="6">IF(ISNUMBER(Set.Size),(ROW()-Base.Row)&lt;Set.Size,TRUE)</definedName>
    <definedName name="CheckArraySize" localSheetId="17">IF(ISNUMBER(Set.Size),(ROW()-Base.Row)&lt;Set.Size,TRUE)</definedName>
    <definedName name="CheckArraySize">IF(ISNUMBER(Set.Size),(ROW()-Base.Row)&lt;Set.Size,TRUE)</definedName>
    <definedName name="E6_Census">'Exercise #6 Data'!$B$2:$G$92</definedName>
    <definedName name="E6_CensusBase">'Exercise #6 Data'!$E$2:$E$92</definedName>
    <definedName name="E6_CensusDepartment">'Exercise #6 Data'!$G$2:$G$92</definedName>
    <definedName name="E6_CensusGender">'Exercise #6 Data'!$D$2:$D$92</definedName>
    <definedName name="E6_CensusHDR">'Exercise #6 Data'!$B$2:$G$2</definedName>
    <definedName name="E6_CensusID">'Exercise #6 Data'!$B$2:$B$92</definedName>
    <definedName name="E6_CensusPerformance">'Exercise #6 Data'!$F$2:$F$92</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5000</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44771.6047222222</definedName>
    <definedName name="IQ_NET_DEBT_ISSUED_BR" hidden="1">"c753"</definedName>
    <definedName name="IQ_NET_INT_INC_BR" hidden="1">"c765"</definedName>
    <definedName name="IQ_NTM">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ListOffset" hidden="1">1</definedName>
    <definedName name="logo">"Picture 2"</definedName>
    <definedName name="NamedRange" localSheetId="3">#REF!</definedName>
    <definedName name="NamedRange">#REF!</definedName>
    <definedName name="NvsASD">"V2007-04-30"</definedName>
    <definedName name="NvsAutoDrillOk">"VY"</definedName>
    <definedName name="NvsElapsedTime">0.00226851851766696</definedName>
    <definedName name="NvsEndTime">39217.6212384259</definedName>
    <definedName name="NvsInstLang">"VENG"</definedName>
    <definedName name="NvsLayoutType">"M3"</definedName>
    <definedName name="NvsPanelEffdt">"V1990-01-01"</definedName>
    <definedName name="NvsPanelSetid">"VSBHCS"</definedName>
    <definedName name="NvsReqBU">"VCMC01"</definedName>
    <definedName name="NvsReqBUOnly">"VY"</definedName>
    <definedName name="NvsTransLed">"VN"</definedName>
    <definedName name="NvsTreeASD">"V2007-04-30"</definedName>
    <definedName name="NvsValTbl.ACCOUNT">"GL_ACCOUNT_TBL"</definedName>
    <definedName name="NvsValTbl.DEPTID">"DEPARTMENT_TBL"</definedName>
    <definedName name="s" localSheetId="3">IF(ISNUMBER(Set.Size),(ROW()-Base.Row)&lt;Set.Size,TRUE)</definedName>
    <definedName name="s" localSheetId="6">IF(ISNUMBER(Set.Size),(ROW()-Base.Row)&lt;Set.Size,TRUE)</definedName>
    <definedName name="s" localSheetId="17">IF(ISNUMBER(Set.Size),(ROW()-Base.Row)&lt;Set.Size,TRUE)</definedName>
    <definedName name="s">IF(ISNUMBER(Set.Size),(ROW()-Base.Row)&lt;Set.Size,TRUE)</definedName>
    <definedName name="Sample_Data">'Key | Exercise #2'!$B$41:$E$47</definedName>
    <definedName name="Sample_Header">'Key | Exercise #2'!$B$41:$E$41</definedName>
    <definedName name="Sample_Name">'Key | Exercise #2'!$B$41:$B$47</definedName>
    <definedName name="SPWS_WBID">"15B25B44-737C-4DB8-A8A4-FDE44A77DFB6"</definedName>
    <definedName name="SPWS_WBID2">"B2C730FF-B629-11D4-AB57-00B0D071B860"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80" l="1"/>
  <c r="K21" i="118"/>
  <c r="K20" i="118"/>
  <c r="K17" i="118"/>
  <c r="K16" i="118"/>
  <c r="K61" i="118"/>
  <c r="K46" i="118"/>
  <c r="K62" i="118"/>
  <c r="K47" i="118"/>
  <c r="D5" i="83" l="1"/>
  <c r="E24" i="117"/>
  <c r="E22" i="117"/>
  <c r="E27" i="117"/>
  <c r="D20" i="117"/>
  <c r="D23" i="117"/>
  <c r="E18" i="117"/>
  <c r="E23" i="117"/>
  <c r="D26" i="117"/>
  <c r="D24" i="117"/>
  <c r="E26" i="117"/>
  <c r="E25" i="117"/>
  <c r="D25" i="117"/>
  <c r="D21" i="117"/>
  <c r="E20" i="117"/>
  <c r="D19" i="117"/>
  <c r="E19" i="117"/>
  <c r="D27" i="117"/>
  <c r="D18" i="117"/>
  <c r="E21" i="117"/>
  <c r="D22" i="117"/>
  <c r="J5" i="83" l="1"/>
  <c r="J6" i="83"/>
  <c r="J7" i="83"/>
  <c r="J8" i="83"/>
  <c r="J9" i="83"/>
  <c r="J10" i="83"/>
  <c r="J11" i="83"/>
  <c r="J12" i="83"/>
  <c r="J13" i="83"/>
  <c r="J14" i="83"/>
  <c r="J15" i="83"/>
  <c r="J16" i="83"/>
  <c r="J17" i="83"/>
  <c r="J18" i="83"/>
  <c r="J19" i="83"/>
  <c r="J20" i="83"/>
  <c r="J21" i="83"/>
  <c r="J22" i="83"/>
  <c r="J23" i="83"/>
  <c r="D6" i="83"/>
  <c r="D7" i="83"/>
  <c r="D8" i="83"/>
  <c r="D9" i="83"/>
  <c r="D10" i="83"/>
  <c r="D11" i="83"/>
  <c r="D12" i="83"/>
  <c r="D13" i="83"/>
  <c r="D14" i="83"/>
  <c r="D15" i="83"/>
  <c r="D16" i="83"/>
  <c r="D17" i="83"/>
  <c r="D18" i="83"/>
  <c r="D19" i="83"/>
  <c r="D20" i="83"/>
  <c r="D21" i="83"/>
  <c r="D22" i="83"/>
  <c r="D23" i="83"/>
  <c r="G24" i="83"/>
  <c r="H24" i="83"/>
  <c r="G25" i="83"/>
  <c r="H25" i="83"/>
  <c r="G27" i="83"/>
  <c r="H27" i="83"/>
  <c r="G28" i="83"/>
  <c r="H28" i="83"/>
  <c r="G29" i="83"/>
  <c r="H29" i="83"/>
  <c r="C4" i="82"/>
  <c r="C5" i="82"/>
  <c r="F8" i="82"/>
  <c r="F9" i="82"/>
  <c r="F10" i="82"/>
  <c r="F11" i="82"/>
  <c r="F12" i="82"/>
  <c r="F13" i="82"/>
  <c r="F14" i="82"/>
  <c r="F15" i="82"/>
  <c r="F16" i="82"/>
  <c r="F17" i="82"/>
  <c r="F18" i="82"/>
  <c r="F19" i="82"/>
  <c r="F20" i="82"/>
  <c r="F21" i="82"/>
  <c r="F22" i="82"/>
  <c r="F23" i="82"/>
  <c r="F24" i="82"/>
  <c r="F25" i="82"/>
  <c r="C26" i="82"/>
  <c r="D26" i="82"/>
  <c r="C27" i="82"/>
  <c r="D27" i="82"/>
  <c r="C28" i="82"/>
  <c r="D28" i="82"/>
  <c r="C29" i="82"/>
  <c r="D29" i="82"/>
  <c r="E11" i="80"/>
  <c r="E12" i="80"/>
  <c r="F12" i="80"/>
  <c r="E13" i="80"/>
  <c r="F13" i="80"/>
  <c r="E14" i="80"/>
  <c r="F14" i="80"/>
  <c r="E15" i="80"/>
  <c r="F15" i="80"/>
  <c r="E16" i="80"/>
  <c r="F16" i="80"/>
  <c r="E17" i="80"/>
  <c r="F17" i="80"/>
  <c r="E18" i="80"/>
  <c r="F18" i="80"/>
  <c r="E19" i="80"/>
  <c r="F19" i="80"/>
  <c r="E20" i="80"/>
  <c r="F20" i="80"/>
  <c r="E21" i="80"/>
  <c r="F21" i="80"/>
  <c r="C24" i="80"/>
  <c r="K20" i="83" l="1"/>
  <c r="K14" i="83"/>
  <c r="K11" i="83"/>
  <c r="K15" i="83"/>
  <c r="K22" i="83"/>
  <c r="K19" i="83"/>
  <c r="J28" i="83"/>
  <c r="K7" i="83"/>
  <c r="K10" i="83"/>
  <c r="K23" i="83"/>
  <c r="K18" i="83"/>
  <c r="K17" i="83"/>
  <c r="J25" i="83"/>
  <c r="K6" i="83"/>
  <c r="J27" i="83"/>
  <c r="K21" i="83"/>
  <c r="K13" i="83"/>
  <c r="K9" i="83"/>
  <c r="K5" i="83"/>
  <c r="J24" i="83"/>
  <c r="J29" i="83"/>
  <c r="K16" i="83"/>
  <c r="K12" i="83"/>
  <c r="K8" i="83"/>
</calcChain>
</file>

<file path=xl/sharedStrings.xml><?xml version="1.0" encoding="utf-8"?>
<sst xmlns="http://schemas.openxmlformats.org/spreadsheetml/2006/main" count="3365" uniqueCount="493">
  <si>
    <t>Company Market Cap</t>
  </si>
  <si>
    <t>Basic</t>
  </si>
  <si>
    <t xml:space="preserve">Function </t>
  </si>
  <si>
    <t>Description</t>
  </si>
  <si>
    <t>=SUM(n1,n2...) or =SUM(Range)</t>
  </si>
  <si>
    <t>=COUNT(n1,n2...) or =COUNT(Range)</t>
  </si>
  <si>
    <t>=COUNTA(n1,n2...) or =COUNTA(Range)</t>
  </si>
  <si>
    <t>=AVERAGE(n1,n2...) or AVERAGE(Range)</t>
  </si>
  <si>
    <t>=AVERAGEA(n1,n2...) or AVERAGEA(Range)</t>
  </si>
  <si>
    <t>=PRODUCT(n1,n2...) or PRODUCT(Range)</t>
  </si>
  <si>
    <t>Sums list of numbers or numbers within range</t>
  </si>
  <si>
    <t>Counts number of numbers in a range</t>
  </si>
  <si>
    <t>Counts number of non-empty cells in range</t>
  </si>
  <si>
    <t>Averages numbers in range</t>
  </si>
  <si>
    <t>Averages numbers in range, text entries assumed to equal 0</t>
  </si>
  <si>
    <t>Multiplies together sequence of numbers or numbers in range</t>
  </si>
  <si>
    <t>Multiplies two ranges together element by element</t>
  </si>
  <si>
    <t>Rounds number to a certain number of decimal places</t>
  </si>
  <si>
    <t>Takes the integer part of a number (Rounds down to nearest whole number)</t>
  </si>
  <si>
    <t>=SUMPRODUCT(Range1,Range2)</t>
  </si>
  <si>
    <t>=ROUND(n,decimal_places)</t>
  </si>
  <si>
    <t>=INT(n)</t>
  </si>
  <si>
    <t>Formula</t>
  </si>
  <si>
    <t>Company Name</t>
  </si>
  <si>
    <t>Company Revenue</t>
  </si>
  <si>
    <t>Task</t>
  </si>
  <si>
    <t>SUM</t>
  </si>
  <si>
    <t>Total</t>
  </si>
  <si>
    <t>Median</t>
  </si>
  <si>
    <t>Number of companies</t>
  </si>
  <si>
    <t>Multiplier</t>
  </si>
  <si>
    <t>Sum of revenues * multipliers</t>
  </si>
  <si>
    <t>Company Market Cap (rounded to 0 decimal places)</t>
  </si>
  <si>
    <t>COUNT</t>
  </si>
  <si>
    <t>Use the COUNT function to count how many companies are in the table</t>
  </si>
  <si>
    <t>ROUND</t>
  </si>
  <si>
    <t>Use the ROUND formula to fill in the column with company market caps rounded to 0 decimal places</t>
  </si>
  <si>
    <t>SUMPRODUCT</t>
  </si>
  <si>
    <t>Use the SUMPRODUCT formula to find the sum of revenue * multiplier  for each company (e.g.  (CompanyA Revenue * CompanyA Multiplier) + (CompanyB Revenue * CompanyBMultiplier)</t>
  </si>
  <si>
    <t>Use the SUM function to add totals to the bottom of the columns in the table below</t>
  </si>
  <si>
    <t>Mathematical:</t>
  </si>
  <si>
    <t>Statistical:</t>
  </si>
  <si>
    <t>Returns the quartile of a dataset</t>
  </si>
  <si>
    <t>=MEDIAN(n1,n2…) or =MEDIAN(Range)</t>
  </si>
  <si>
    <t>QUARTILE</t>
  </si>
  <si>
    <t>Returns the median of a set of numbers (equivalent to quartile formula with '2' as quartile value)</t>
  </si>
  <si>
    <t>Use the QUARTILE function to find the lower quartile, median and upper quartiles of the dataset (reference the numbers 1,2,3 on the left for the quartile value to keep formula the same)</t>
  </si>
  <si>
    <t>=AND(logical1,logical2,...)</t>
  </si>
  <si>
    <t>=OR(logical1,logical2,...)</t>
  </si>
  <si>
    <t>If logical statement is true the answer is option1 otherwise it is option 2</t>
  </si>
  <si>
    <t>Returns TRUE if the cell is empty</t>
  </si>
  <si>
    <t>Returns TRUE if the cell contains text</t>
  </si>
  <si>
    <t>Returns TRUE if cell contains an error</t>
  </si>
  <si>
    <t>Returns “answer” if logical1 is error</t>
  </si>
  <si>
    <t>Returns TRUE if the cell contains an N/A error (not available)</t>
  </si>
  <si>
    <t>Returns TRUE if all logical statements are TRUE</t>
  </si>
  <si>
    <t>Returns TRUE if any of the logical statements are TRUE</t>
  </si>
  <si>
    <t>Counts number of cells with property in range</t>
  </si>
  <si>
    <t>=IF(logical statement,option1,option2)</t>
  </si>
  <si>
    <t>=ISBLANK(cell reference)</t>
  </si>
  <si>
    <t>=ISTEXT(cell reference)</t>
  </si>
  <si>
    <t>=ISNUMBER(cell reference)</t>
  </si>
  <si>
    <t>=ISERROR(cell reference)</t>
  </si>
  <si>
    <t>=IFERROR(logical1,”answer”)</t>
  </si>
  <si>
    <t>=ISNA(cell reference)</t>
  </si>
  <si>
    <t>=COUNTIF(Range, “property”)</t>
  </si>
  <si>
    <t>Name</t>
  </si>
  <si>
    <t>Revenue</t>
  </si>
  <si>
    <t>b5soh</t>
  </si>
  <si>
    <t>jrlmt</t>
  </si>
  <si>
    <t>8if5m</t>
  </si>
  <si>
    <t>agqtd</t>
  </si>
  <si>
    <t>h8ze7</t>
  </si>
  <si>
    <t>o3du0</t>
  </si>
  <si>
    <t>jzybo</t>
  </si>
  <si>
    <t>d7vez</t>
  </si>
  <si>
    <t>nmd4l</t>
  </si>
  <si>
    <t>yw462</t>
  </si>
  <si>
    <t>iei58</t>
  </si>
  <si>
    <t>s16s3</t>
  </si>
  <si>
    <t>7qf4m</t>
  </si>
  <si>
    <t>9gvha</t>
  </si>
  <si>
    <t>44hwj</t>
  </si>
  <si>
    <t>m6qmf</t>
  </si>
  <si>
    <t>gue8c</t>
  </si>
  <si>
    <t>qcmdy</t>
  </si>
  <si>
    <t>t957f</t>
  </si>
  <si>
    <t>r7ywu</t>
  </si>
  <si>
    <t>t4pja</t>
  </si>
  <si>
    <t>r6kh3</t>
  </si>
  <si>
    <t>xqmiz</t>
  </si>
  <si>
    <t>zta0x</t>
  </si>
  <si>
    <t>quzp1</t>
  </si>
  <si>
    <t>v79ke</t>
  </si>
  <si>
    <t>u9npp</t>
  </si>
  <si>
    <t>os40z</t>
  </si>
  <si>
    <t>cbqo5</t>
  </si>
  <si>
    <t>q7oek</t>
  </si>
  <si>
    <t>y6vpw</t>
  </si>
  <si>
    <t>ejza2</t>
  </si>
  <si>
    <t>9q5yt</t>
  </si>
  <si>
    <t>qlvri</t>
  </si>
  <si>
    <t>eytzk</t>
  </si>
  <si>
    <t>2io4u</t>
  </si>
  <si>
    <t>yxch9</t>
  </si>
  <si>
    <t>ve483</t>
  </si>
  <si>
    <t>y67d5</t>
  </si>
  <si>
    <t>wnym8</t>
  </si>
  <si>
    <t>zt5n5</t>
  </si>
  <si>
    <t>mtetv</t>
  </si>
  <si>
    <t>1o563</t>
  </si>
  <si>
    <t>7v889</t>
  </si>
  <si>
    <t>axs93</t>
  </si>
  <si>
    <t>7a16w</t>
  </si>
  <si>
    <t>qmx6o</t>
  </si>
  <si>
    <t>eglms</t>
  </si>
  <si>
    <t>1g787</t>
  </si>
  <si>
    <t>9vivk</t>
  </si>
  <si>
    <t>yz7sv</t>
  </si>
  <si>
    <t>fqs1k</t>
  </si>
  <si>
    <t>8qf7a</t>
  </si>
  <si>
    <t>78693</t>
  </si>
  <si>
    <t>ckh8z</t>
  </si>
  <si>
    <t>roy2s</t>
  </si>
  <si>
    <t>oigwl</t>
  </si>
  <si>
    <t>evsnj</t>
  </si>
  <si>
    <t>03jyd</t>
  </si>
  <si>
    <t>mghez</t>
  </si>
  <si>
    <t>7sbmr</t>
  </si>
  <si>
    <t>8ttt6</t>
  </si>
  <si>
    <t>nimoo</t>
  </si>
  <si>
    <t>sbsmh</t>
  </si>
  <si>
    <t>uz0d3</t>
  </si>
  <si>
    <t>cmayj</t>
  </si>
  <si>
    <t>h0ic9</t>
  </si>
  <si>
    <t>1kso0</t>
  </si>
  <si>
    <t>bc2p2</t>
  </si>
  <si>
    <t>b3qfs</t>
  </si>
  <si>
    <t>3frwi</t>
  </si>
  <si>
    <t>w71px</t>
  </si>
  <si>
    <t>mrgsa</t>
  </si>
  <si>
    <t>lkjyf</t>
  </si>
  <si>
    <t>tt3ub</t>
  </si>
  <si>
    <t>qcdgl</t>
  </si>
  <si>
    <t>45ucn</t>
  </si>
  <si>
    <t>vt5yn</t>
  </si>
  <si>
    <t>w1pmb</t>
  </si>
  <si>
    <t>avww6</t>
  </si>
  <si>
    <t>og5c2</t>
  </si>
  <si>
    <t>ey8tk</t>
  </si>
  <si>
    <t>bbwzg</t>
  </si>
  <si>
    <t>jqvgg</t>
  </si>
  <si>
    <t>6pgnr</t>
  </si>
  <si>
    <t>zoa1y</t>
  </si>
  <si>
    <t>phba7</t>
  </si>
  <si>
    <t>fdvf5</t>
  </si>
  <si>
    <t>73m49</t>
  </si>
  <si>
    <t>2yhrp</t>
  </si>
  <si>
    <t>qhnh8</t>
  </si>
  <si>
    <t>kqapl</t>
  </si>
  <si>
    <t>s6bf6</t>
  </si>
  <si>
    <t>q6zkq</t>
  </si>
  <si>
    <t>hg36n</t>
  </si>
  <si>
    <t>bgqf4</t>
  </si>
  <si>
    <t>fk6lu</t>
  </si>
  <si>
    <t>1y3dq</t>
  </si>
  <si>
    <t>7645z</t>
  </si>
  <si>
    <t>q0kit</t>
  </si>
  <si>
    <t># of Oranges</t>
  </si>
  <si>
    <t># of Apples</t>
  </si>
  <si>
    <t>Happy?</t>
  </si>
  <si>
    <t>Jonathan</t>
  </si>
  <si>
    <t>Yes</t>
  </si>
  <si>
    <t>1. How many oranges does Thomas have?</t>
  </si>
  <si>
    <t>Mary</t>
  </si>
  <si>
    <t>No</t>
  </si>
  <si>
    <t>Thomas</t>
  </si>
  <si>
    <t>2. Is Timothy happy?</t>
  </si>
  <si>
    <t>Isaac</t>
  </si>
  <si>
    <t>Timothy</t>
  </si>
  <si>
    <t>Susan</t>
  </si>
  <si>
    <t>Company Market Cap Greater than $5,000?</t>
  </si>
  <si>
    <t>Market Cap</t>
  </si>
  <si>
    <t>Big Mike</t>
  </si>
  <si>
    <t>1. Hours Big Mike spends working out?</t>
  </si>
  <si>
    <t># Hours Working Out</t>
  </si>
  <si>
    <t># Hours Watching TV</t>
  </si>
  <si>
    <t>Strong?</t>
  </si>
  <si>
    <t>Very</t>
  </si>
  <si>
    <t>User</t>
  </si>
  <si>
    <t>John Doe</t>
  </si>
  <si>
    <t>Jane Doe</t>
  </si>
  <si>
    <t>Sam Sample</t>
  </si>
  <si>
    <t>Sally Sample</t>
  </si>
  <si>
    <t>Tom Test</t>
  </si>
  <si>
    <t>Don Data</t>
  </si>
  <si>
    <t>Dana Data</t>
  </si>
  <si>
    <t>Andy Anonymous</t>
  </si>
  <si>
    <t>Alex Axis</t>
  </si>
  <si>
    <t>Alexis Axis</t>
  </si>
  <si>
    <t>Anna Anonymous</t>
  </si>
  <si>
    <t>Randy Rating</t>
  </si>
  <si>
    <t>Rachel Rating</t>
  </si>
  <si>
    <t>Eric Excel</t>
  </si>
  <si>
    <t>Emma Excel</t>
  </si>
  <si>
    <t>Freddy Formula</t>
  </si>
  <si>
    <t>Fran Formula</t>
  </si>
  <si>
    <t>Intermediate</t>
  </si>
  <si>
    <t>Advanced</t>
  </si>
  <si>
    <t>Minimal</t>
  </si>
  <si>
    <t>Eligibility (Weight)</t>
  </si>
  <si>
    <t>Xavier Expert</t>
  </si>
  <si>
    <t>Ezra Expert</t>
  </si>
  <si>
    <t>=QUARTILE.EXC(Range,quartile)</t>
  </si>
  <si>
    <t>=PERCENTILE.EXC(Range,percentile)</t>
  </si>
  <si>
    <t>75th Percentile</t>
  </si>
  <si>
    <t>25th Percentile</t>
  </si>
  <si>
    <t>Returns the percentile of a dataset</t>
  </si>
  <si>
    <t>PERCENTILE</t>
  </si>
  <si>
    <t>Use the PERCENTILE function to find the any specified percentile of the dataset (reference any decimal between 0 and 1 on the left for the percentile value to keep formula the same)</t>
  </si>
  <si>
    <t>Mean (Average)</t>
  </si>
  <si>
    <t>Weighted Mean (Average)</t>
  </si>
  <si>
    <t>50th Percentile (Median)</t>
  </si>
  <si>
    <t>User Surname</t>
  </si>
  <si>
    <t>Bonus
(%)</t>
  </si>
  <si>
    <t>Base Salary
($)</t>
  </si>
  <si>
    <t>Excel Proficiency 
(a)</t>
  </si>
  <si>
    <t>Excel Proficiency 
(#)</t>
  </si>
  <si>
    <t>=PERCENTRANK.EXC(Range,Reference)</t>
  </si>
  <si>
    <t>Returns the percent-based rank of a given reference, compared to a range of data</t>
  </si>
  <si>
    <t>PERCENTRANK</t>
  </si>
  <si>
    <t xml:space="preserve">Use the PERCENTRANK function to determine the relative rank of a given data point reference, compared to a dataset </t>
  </si>
  <si>
    <t>Total Cash Compensation (TCC)
($)</t>
  </si>
  <si>
    <t>TCC Percent Rank</t>
  </si>
  <si>
    <t>The Essentials</t>
  </si>
  <si>
    <t>Formatting</t>
  </si>
  <si>
    <t>Complete formatting steps 1 - 9 outlined in the Formatting tab (previous).</t>
  </si>
  <si>
    <t>Exercise #1: using the keyboard to move effortlessly through data</t>
  </si>
  <si>
    <t>Basic Formulas</t>
  </si>
  <si>
    <t>Lookup Formulas</t>
  </si>
  <si>
    <t>Exercise Questions</t>
  </si>
  <si>
    <t>Use the blank gray cells to house indirect references</t>
  </si>
  <si>
    <t>Logical Formulas</t>
  </si>
  <si>
    <t>Lookup formulas are useful when pulling data from one place to another. For example, if you have one table with a list of names and eye colors, and want to extract the eye colors of a list of five people, you can use a lookup formula to do that without filtering the list.</t>
  </si>
  <si>
    <t>There are two main lookup formulas: VLOOKUP and INDEX MATCH. Most people use VLOOKUPs, but INDEX MATCH is more powerful and almost always the better option. However, as both are common, you must know how to use each.</t>
  </si>
  <si>
    <r>
      <rPr>
        <b/>
        <sz val="11"/>
        <color theme="4"/>
        <rFont val="Arial"/>
        <family val="2"/>
      </rPr>
      <t>VLOOKUP</t>
    </r>
    <r>
      <rPr>
        <b/>
        <sz val="11"/>
        <color theme="1"/>
        <rFont val="Arial"/>
        <family val="2"/>
      </rPr>
      <t xml:space="preserve">
</t>
    </r>
    <r>
      <rPr>
        <sz val="11"/>
        <color theme="4"/>
        <rFont val="Arial"/>
        <family val="2"/>
      </rPr>
      <t>What is VLOOKUP?</t>
    </r>
    <r>
      <rPr>
        <sz val="11"/>
        <color theme="1"/>
        <rFont val="Arial"/>
        <family val="2"/>
      </rPr>
      <t xml:space="preserve">  The VLOOKUP formula is used when to find things in a table or a range, by row. Note: the reference item must be in the first column of the table (e.g. you couldn't look up Code for a particular company name in the table on the left - one of the reasons index match is better (see below).
Format: =VLOOKUP(data_item_you're_looking_down_for, table_of_data, column_number, FALSE)
DONT FORGET THE 'FALSE' AT THE END OF THE FUNCTION (it indicates you're looking for an exact match, which you almost always are)
</t>
    </r>
    <r>
      <rPr>
        <sz val="11"/>
        <color theme="4"/>
        <rFont val="Arial"/>
        <family val="2"/>
      </rPr>
      <t>HLOOKUP</t>
    </r>
    <r>
      <rPr>
        <sz val="11"/>
        <color theme="1"/>
        <rFont val="Arial"/>
        <family val="2"/>
      </rPr>
      <t xml:space="preserve"> does the same thing as a VLOOKUP but looks up off headers instead of rows (H = Horizontal, V = Vertical) and is much less common</t>
    </r>
  </si>
  <si>
    <r>
      <rPr>
        <b/>
        <sz val="11"/>
        <color theme="8"/>
        <rFont val="Arial"/>
        <family val="2"/>
      </rPr>
      <t>INDEX MATCH</t>
    </r>
    <r>
      <rPr>
        <sz val="11"/>
        <color theme="1"/>
        <rFont val="Arial"/>
        <family val="2"/>
      </rPr>
      <t xml:space="preserve">
</t>
    </r>
    <r>
      <rPr>
        <sz val="11"/>
        <color theme="8"/>
        <rFont val="Arial"/>
        <family val="2"/>
      </rPr>
      <t>What is INDEX MATCH?</t>
    </r>
    <r>
      <rPr>
        <sz val="11"/>
        <color theme="1"/>
        <rFont val="Arial"/>
        <family val="2"/>
      </rPr>
      <t xml:space="preserve"> The INDEX MATCH formula is actually two formulas used together - the INDEX formula (picks out a value in a table based on a row and column number) and the MATCH formula (tells you the row or column where your inputted data is in a selection) . 
Format: =INDEX(tableofdata, match(data_item_you’re_looking_down_for, column_of_data_its_in, 0), match(header_you’re_looking_across_for, row_of_data_you’re_looking_in, 0))
DON'T FORGET THE 0 AT THE END OF THE MATCH FUNCTIONS (it indicates you're looking for an exact match, which you almost always are)
You don't have to put in a column reference if your table is only one column wide.
The easiest way to see how your formulas work in action: click on the formula cell, click the formula tab, then click ‘evaluate formula’ (shortcut alt, m, v) This will show step-by-step what Excel is doing.
Why use INDEX MATCH? The INDEX MATCH formula is more flexible than the VLOOKUP formula. It's easier to check (column can be chosen from a column header instead of a number), doesn’t require the lookup data to be in the first column of the table, and is also faster. </t>
    </r>
  </si>
  <si>
    <t>Logical formulas are used when you want to calculate something only if data meets a certain set of criteria. They're more powerful when used with array formulas.</t>
  </si>
  <si>
    <r>
      <rPr>
        <b/>
        <sz val="11"/>
        <color theme="4"/>
        <rFont val="Arial"/>
        <family val="2"/>
        <scheme val="minor"/>
      </rPr>
      <t>IF Formulas</t>
    </r>
    <r>
      <rPr>
        <sz val="11"/>
        <color theme="4"/>
        <rFont val="Arial"/>
        <family val="2"/>
        <scheme val="minor"/>
      </rPr>
      <t xml:space="preserve">
</t>
    </r>
    <r>
      <rPr>
        <sz val="11"/>
        <color theme="1"/>
        <rFont val="Arial"/>
        <family val="2"/>
        <scheme val="minor"/>
      </rPr>
      <t xml:space="preserve">For powerful decision-making, “nest” IF functions within a formula:
</t>
    </r>
    <r>
      <rPr>
        <sz val="11"/>
        <color theme="4"/>
        <rFont val="Arial"/>
        <family val="2"/>
        <scheme val="minor"/>
      </rPr>
      <t>Example</t>
    </r>
    <r>
      <rPr>
        <sz val="11"/>
        <color theme="1"/>
        <rFont val="Arial"/>
        <family val="2"/>
        <scheme val="minor"/>
      </rPr>
      <t xml:space="preserve">
IF(A1=“X”,1,IF(A1=“Y”,2,IF(A1=“Z”,3,0)))
This formula checks cell A1. If it contains “X”, the formula returns 1. If it doesn’t contain “X”, then the second argument is evaluated. This contains another IF function which determines whether A1 contains “Y”, and if so returns a 2 and so on and so forth.</t>
    </r>
  </si>
  <si>
    <r>
      <rPr>
        <b/>
        <sz val="11"/>
        <color theme="4"/>
        <rFont val="Arial"/>
        <family val="2"/>
        <scheme val="minor"/>
      </rPr>
      <t>IFERROR Formula</t>
    </r>
    <r>
      <rPr>
        <sz val="11"/>
        <color theme="4"/>
        <rFont val="Arial"/>
        <family val="2"/>
        <scheme val="minor"/>
      </rPr>
      <t xml:space="preserve">
</t>
    </r>
    <r>
      <rPr>
        <sz val="11"/>
        <color theme="1"/>
        <rFont val="Arial"/>
        <family val="2"/>
        <scheme val="minor"/>
      </rPr>
      <t>The IFERROR formula is very useful for making data sheets look clean, amongst other things. It wraps around any formula, and if the formula it wraps around gives an error, it gives a set value instead of the error. If the formula doesn't give an error, it gives the result of the formula.
Example: Multiplying text by a number gives an error, so the IFERROR formula makes it show "Error" instead. Most commonly the error value is set to "", which gives a blank.</t>
    </r>
  </si>
  <si>
    <t>Mean, Medians, Deviations, Skews, etc.</t>
  </si>
  <si>
    <t>Arithmetic, Rounding, Averages, Weighted Averages, etc.</t>
  </si>
  <si>
    <t>Scroll right to create charts</t>
  </si>
  <si>
    <t>&gt;&gt;&gt;</t>
  </si>
  <si>
    <t>Sample_Array</t>
  </si>
  <si>
    <t>Sample_Header</t>
  </si>
  <si>
    <t>Sample_Name</t>
  </si>
  <si>
    <t>Math and Stats Formulas</t>
  </si>
  <si>
    <t>Exercise #6: Cumulative</t>
  </si>
  <si>
    <t>=TEXT(n, FormatCode)</t>
  </si>
  <si>
    <t>Formats a value given a specific format code. Format codes can be found here: https://support.microsoft.com/en-us/office/number-format-codes-5026bbd6-04bc-48cd-bf33-80f18b4eae68</t>
  </si>
  <si>
    <t>=MID(string,nstart,nchars)</t>
  </si>
  <si>
    <t>Returns a specific number of characters from a text string, starting at the position you specify, based on the number of characters you specify.</t>
  </si>
  <si>
    <t>=RIGHT(string,nchars)</t>
  </si>
  <si>
    <t>=LEFT(string,nchars)</t>
  </si>
  <si>
    <t>Returns nchars from the right of a string</t>
  </si>
  <si>
    <t>Returns nchars from the left of a string</t>
  </si>
  <si>
    <t>=TRIM(string)</t>
  </si>
  <si>
    <t>Shortens any multi-spaces in a string into a single-space</t>
  </si>
  <si>
    <t>=LEN(string)</t>
  </si>
  <si>
    <t>Returns the length of a string</t>
  </si>
  <si>
    <t>=FIND(substring,string)</t>
  </si>
  <si>
    <t>Finds the start of a substring within a string</t>
  </si>
  <si>
    <r>
      <rPr>
        <b/>
        <sz val="11"/>
        <color theme="8"/>
        <rFont val="Arial"/>
        <family val="2"/>
      </rPr>
      <t>INDIRECT</t>
    </r>
    <r>
      <rPr>
        <sz val="11"/>
        <color theme="1"/>
        <rFont val="Arial"/>
        <family val="2"/>
      </rPr>
      <t xml:space="preserve">
</t>
    </r>
    <r>
      <rPr>
        <sz val="11"/>
        <color theme="8"/>
        <rFont val="Arial"/>
        <family val="2"/>
      </rPr>
      <t>What is an INDIRECT formula?</t>
    </r>
    <r>
      <rPr>
        <sz val="11"/>
        <color theme="1"/>
        <rFont val="Arial"/>
        <family val="2"/>
      </rPr>
      <t xml:space="preserve"> It is basically directing Excel to treat a string of text as a reference to another cell instead of as a value.
Let's say cell A5 contains a value of "named_range" and we have a named range called "named_range", then =INDIRECT(A5) directs Excel to look at "named_range". You can also use INDIRECT to refer to a non-named range group of cells. =INDIRECT(B2) refers to cell B2 on this tab and would return a value of "Basic Formulas"</t>
    </r>
  </si>
  <si>
    <t>=string1&amp;string2</t>
  </si>
  <si>
    <t>Concatenates string1 with string2</t>
  </si>
  <si>
    <t>=SUMIFS(sum_range,criteria_range1, criteria1,criteria_range2, criteria2...)</t>
  </si>
  <si>
    <t>=COUNTIFS(criteria_range1, criteria1,criteria_range2, criteria2…)</t>
  </si>
  <si>
    <t>Returns the sum of all values in the sum_range that meet each of the set criteria</t>
  </si>
  <si>
    <t>Returns a count of all rows of data that meet each of the set criteria</t>
  </si>
  <si>
    <t>Keyboard Shortcut</t>
  </si>
  <si>
    <t>Keyboard Shortcuts</t>
  </si>
  <si>
    <t>Merge and center a group of cells</t>
  </si>
  <si>
    <t>Wrap text of a cell</t>
  </si>
  <si>
    <t>ctrl+1</t>
  </si>
  <si>
    <t>Pull up the formatting menu for a selected cell</t>
  </si>
  <si>
    <t>ctrl+c and ctrl+alt+v, t</t>
  </si>
  <si>
    <t>Copy and paste the formatting of selected cell(s)</t>
  </si>
  <si>
    <t>Center text horizontally within a cell | Left align text within a cell | Right align text within a cell</t>
  </si>
  <si>
    <t>Center text vertically within a cell | Top align text within a cell | Bottom align text within a cell</t>
  </si>
  <si>
    <t>Remove one decimal place from what a cell is showing (does not remove it from the value) | Add a decimal place to a cell</t>
  </si>
  <si>
    <t>Remove highlighting from a cell | Highlight a cell using selected color</t>
  </si>
  <si>
    <t>Format a value as a percentage | Format value as another standard formatting type</t>
  </si>
  <si>
    <t>Create a new conditional formatting rule | Pull up existing conditional formatting rules</t>
  </si>
  <si>
    <t>Removes borders from a selected cell or group of cells | Adds border to the outside of selected cell(s) | Adds thick border to the outside of selected cell(s) | Adds border to all cells within selected cell(s)</t>
  </si>
  <si>
    <t>alt,h,9 | alt,h,0</t>
  </si>
  <si>
    <t>alt,h,h,n | alt,h,h,[use mouse to select a color]</t>
  </si>
  <si>
    <t>alt,h,p | alt,h,n,[type]</t>
  </si>
  <si>
    <t>alt,h,l,n | alt,h,l,r</t>
  </si>
  <si>
    <t>alt,h,b,n | alt,h,b,s | alt,h,b,t | alt,h,b,a</t>
  </si>
  <si>
    <t>alt,h,m,c</t>
  </si>
  <si>
    <t>alt,h,w</t>
  </si>
  <si>
    <t>Change the height of selected cell(s) | Change width of selected cell(s)</t>
  </si>
  <si>
    <t>Autofit row height | Autofit column width</t>
  </si>
  <si>
    <t>alt,h,o,h | alt,h,o,w</t>
  </si>
  <si>
    <t>alt,h,o,i | alt,h,o,a</t>
  </si>
  <si>
    <t>alt,h,l,s | alt,h,l,d | alt,h,l,i</t>
  </si>
  <si>
    <t>Add color scale to selected cells | Add data bars to selected cells | Add icons to selected cells</t>
  </si>
  <si>
    <t>ctrl+b, ctrl+I, ctrl+u</t>
  </si>
  <si>
    <t>Bold text | Italicize text | Underline text</t>
  </si>
  <si>
    <t>alt+shift+←, enter | alt+shift+←, ↓, enter</t>
  </si>
  <si>
    <t>alt+shift+→, enter | alt+shift+→, ↓, enter</t>
  </si>
  <si>
    <t>Ungroup rows | Ungroup columns</t>
  </si>
  <si>
    <t>Group rows | Group columns</t>
  </si>
  <si>
    <t>alt,h,o,u,c | alt,h,o,u,r | | alt,h,o,u,s</t>
  </si>
  <si>
    <t>Hide columns | Hide rows | Hide sheet</t>
  </si>
  <si>
    <t>alt,h,o,u,l | alt,h,o,u,o | | alt,h,o,u,h</t>
  </si>
  <si>
    <t>Unhide columns | Unhide rows | Unhide sheet</t>
  </si>
  <si>
    <t>alt,w,v,g</t>
  </si>
  <si>
    <t>alt,h,a,c | alt,h,a,l | alt,h,a,r</t>
  </si>
  <si>
    <t>alt,h,a,m | alt,h,a,t | alt,h,a,b</t>
  </si>
  <si>
    <t>Toggle Gridlines</t>
  </si>
  <si>
    <t>alt,w,f,f</t>
  </si>
  <si>
    <t>Freeze panes</t>
  </si>
  <si>
    <t>General</t>
  </si>
  <si>
    <t>Start typing in selected cell</t>
  </si>
  <si>
    <t>F2 (May be fn+F2)</t>
  </si>
  <si>
    <t>F4 (May be fn+F4)</t>
  </si>
  <si>
    <t>Absolute reference a cell (1x for both row and column, 2x for just row, 3x for just column)</t>
  </si>
  <si>
    <t>F9 (May be fn+F9)</t>
  </si>
  <si>
    <t>Refresh Workbook</t>
  </si>
  <si>
    <t>Highlight cells with dragdown cell in top left, F2, Ctrl+enter</t>
  </si>
  <si>
    <t>Drag down a formula without changing any part of the formula and doesn't paste over any hidden cells</t>
  </si>
  <si>
    <t>Sort a table</t>
  </si>
  <si>
    <t>alt,h,s,u</t>
  </si>
  <si>
    <t>alt,n,r</t>
  </si>
  <si>
    <t>Add a Chart</t>
  </si>
  <si>
    <t>alt,m,x,a | alt,m,x,m</t>
  </si>
  <si>
    <t>Automatic Calculations | Manual Calculations</t>
  </si>
  <si>
    <t>alt,m,j</t>
  </si>
  <si>
    <t>Calculate Sheet</t>
  </si>
  <si>
    <t>alt,m,v</t>
  </si>
  <si>
    <t>Evaluate Formula</t>
  </si>
  <si>
    <t>alt,m,h</t>
  </si>
  <si>
    <t>Show Formulas</t>
  </si>
  <si>
    <t>ctrl+F3</t>
  </si>
  <si>
    <t>Name Manager</t>
  </si>
  <si>
    <t>alt,n,c,2</t>
  </si>
  <si>
    <t>Add comment</t>
  </si>
  <si>
    <t>alt,h,o,r | alt,h,o,t | alt,h,o,m</t>
  </si>
  <si>
    <t>Rename tab, Change tab color, Move or copy sheets</t>
  </si>
  <si>
    <t>ctrl+c,ctrl+alt+v,v | ctrl+c,ctrl+alt+v,f | ctrl+c,ctrl+alt+v,e</t>
  </si>
  <si>
    <t>Copy and paste as values | Copy and paste formulas | Copy and paste transposed</t>
  </si>
  <si>
    <t>alt,h,i,r | alt,h,i,c | alt,h,i,s</t>
  </si>
  <si>
    <t>Insert row | Insert column | Insert sheet</t>
  </si>
  <si>
    <t>alt,h,d,r | alt,h,d,c | alt,h,i,s</t>
  </si>
  <si>
    <t>Delete row | Delete column | Delete sheet</t>
  </si>
  <si>
    <t>EE ID</t>
  </si>
  <si>
    <t>Employee Name</t>
  </si>
  <si>
    <t>Base Pay</t>
  </si>
  <si>
    <t>Performance</t>
  </si>
  <si>
    <t>Department</t>
  </si>
  <si>
    <t>Example Census:</t>
  </si>
  <si>
    <t>Gender</t>
  </si>
  <si>
    <t>John Sample</t>
  </si>
  <si>
    <t>Jane Test</t>
  </si>
  <si>
    <t>Sam Data</t>
  </si>
  <si>
    <t>Sally Anonymous</t>
  </si>
  <si>
    <t>Tom Rating</t>
  </si>
  <si>
    <t>Don Axis</t>
  </si>
  <si>
    <t>Dana Excel</t>
  </si>
  <si>
    <t>Jane Sample</t>
  </si>
  <si>
    <t>Sam Test</t>
  </si>
  <si>
    <t>Sally Data</t>
  </si>
  <si>
    <t>Tom Anonymous</t>
  </si>
  <si>
    <t>Don Rating</t>
  </si>
  <si>
    <t>Dana Axis</t>
  </si>
  <si>
    <t>Andy Excel</t>
  </si>
  <si>
    <t>Anna Formula</t>
  </si>
  <si>
    <t>Rachel Doe</t>
  </si>
  <si>
    <t>Alex Sample</t>
  </si>
  <si>
    <t>Alexis Test</t>
  </si>
  <si>
    <t>Eric Data</t>
  </si>
  <si>
    <t>Emma Anonymous</t>
  </si>
  <si>
    <t>Freddy Rating</t>
  </si>
  <si>
    <t>Fran Axis</t>
  </si>
  <si>
    <t>Xavier Excel</t>
  </si>
  <si>
    <t>John Test</t>
  </si>
  <si>
    <t>Jane Data</t>
  </si>
  <si>
    <t>Sam Anonymous</t>
  </si>
  <si>
    <t>Sally Rating</t>
  </si>
  <si>
    <t>Tom Axis</t>
  </si>
  <si>
    <t>Don Excel</t>
  </si>
  <si>
    <t>Dana Formula</t>
  </si>
  <si>
    <t>Andy Expert</t>
  </si>
  <si>
    <t>Randy Doe</t>
  </si>
  <si>
    <t>Rachel Sample</t>
  </si>
  <si>
    <t>Alex Test</t>
  </si>
  <si>
    <t>Alexis Data</t>
  </si>
  <si>
    <t>Eric Anonymous</t>
  </si>
  <si>
    <t>Emma Rating</t>
  </si>
  <si>
    <t>Freddy Axis</t>
  </si>
  <si>
    <t>Fran Excel</t>
  </si>
  <si>
    <t>Xavier Formula</t>
  </si>
  <si>
    <t>John Data</t>
  </si>
  <si>
    <t>Jane Anonymous</t>
  </si>
  <si>
    <t>Sam Rating</t>
  </si>
  <si>
    <t>Sally Axis</t>
  </si>
  <si>
    <t>Tom Excel</t>
  </si>
  <si>
    <t>Don Formula</t>
  </si>
  <si>
    <t>Andy Doe</t>
  </si>
  <si>
    <t>Anna Sample</t>
  </si>
  <si>
    <t>Randy Test</t>
  </si>
  <si>
    <t>Rachel Data</t>
  </si>
  <si>
    <t>Alex Anonymous</t>
  </si>
  <si>
    <t>Alexis Rating</t>
  </si>
  <si>
    <t>Eric Axis</t>
  </si>
  <si>
    <t>Fran Expert</t>
  </si>
  <si>
    <t>Xavier Doe</t>
  </si>
  <si>
    <t>Ezra Sample</t>
  </si>
  <si>
    <t>William Doe</t>
  </si>
  <si>
    <t>William Sample</t>
  </si>
  <si>
    <t>William Test</t>
  </si>
  <si>
    <t>William Data</t>
  </si>
  <si>
    <t>William Anonymous</t>
  </si>
  <si>
    <t>William Rating</t>
  </si>
  <si>
    <t>William Axis</t>
  </si>
  <si>
    <t>William Excel</t>
  </si>
  <si>
    <t>William Formula</t>
  </si>
  <si>
    <t>William Expert</t>
  </si>
  <si>
    <t>Sarah Doe</t>
  </si>
  <si>
    <t>Sarah Sample</t>
  </si>
  <si>
    <t>Sarah Test</t>
  </si>
  <si>
    <t>Sarah Data</t>
  </si>
  <si>
    <t>Sarah Anonymous</t>
  </si>
  <si>
    <t>Male</t>
  </si>
  <si>
    <t>Female</t>
  </si>
  <si>
    <t>Accounting</t>
  </si>
  <si>
    <t>Human Resources</t>
  </si>
  <si>
    <t>Sales</t>
  </si>
  <si>
    <t>Administration</t>
  </si>
  <si>
    <t>Finance</t>
  </si>
  <si>
    <t>alt,h,f,d,s,y,enter</t>
  </si>
  <si>
    <t>Select visible cells only</t>
  </si>
  <si>
    <t>alt,a,m,v | alt,h,l,h,d</t>
  </si>
  <si>
    <t>Remove duplicates | Highlight duplicates</t>
  </si>
  <si>
    <t>alt+tab</t>
  </si>
  <si>
    <t>Switch between files</t>
  </si>
  <si>
    <t>alt,h,s,f | alt,a,c</t>
  </si>
  <si>
    <t>Add filter to a table | Clear all filters from a table</t>
  </si>
  <si>
    <t>Conditional Formatting &amp; Data Validation</t>
  </si>
  <si>
    <t>alt,h,l,c,s</t>
  </si>
  <si>
    <t>Clear conditional formatting from selected cells</t>
  </si>
  <si>
    <t>alt,a,v,v</t>
  </si>
  <si>
    <t>Pull up data validation menu</t>
  </si>
  <si>
    <t>E6_Census</t>
  </si>
  <si>
    <t>Performance Level</t>
  </si>
  <si>
    <t>Department:</t>
  </si>
  <si>
    <t>Advanced Skills</t>
  </si>
  <si>
    <t>Exercise #7: Conditional Formatting &amp; Data Validation</t>
  </si>
  <si>
    <t>Text Functions</t>
  </si>
  <si>
    <t>alt,h,o,p | alt,f,i,p,e</t>
  </si>
  <si>
    <t>Protect Worksheet | Protect Workbook</t>
  </si>
  <si>
    <t>Evaluate Formula - Useful for Debugging formulas!</t>
  </si>
  <si>
    <t>Exercise #2: using basic lookup formulas</t>
  </si>
  <si>
    <t>Exercise Questions: Are the following individuals happy?</t>
  </si>
  <si>
    <t>2. Hours Thomas spends working out?</t>
  </si>
  <si>
    <t>Sample_Data</t>
  </si>
  <si>
    <t>Returns TRUE if the cell contains number</t>
  </si>
  <si>
    <t>Exercise #3: Using logical formulas</t>
  </si>
  <si>
    <t>Exercise #4: Cumulative</t>
  </si>
  <si>
    <t>User Last Name</t>
  </si>
  <si>
    <t>Weighted Mean (Average) [Hint: Use the PRODUCT() Function]</t>
  </si>
  <si>
    <t>Exercise #6: Conditional Formatting &amp; Data Validation</t>
  </si>
  <si>
    <t>Company 1</t>
  </si>
  <si>
    <t>Company 2</t>
  </si>
  <si>
    <t>Company 3</t>
  </si>
  <si>
    <t>Company 4</t>
  </si>
  <si>
    <t>Company 5</t>
  </si>
  <si>
    <t>Company 6</t>
  </si>
  <si>
    <t>Company 7</t>
  </si>
  <si>
    <t>Company 8</t>
  </si>
  <si>
    <t>Company 9</t>
  </si>
  <si>
    <t>Company 10</t>
  </si>
  <si>
    <t>Company 11</t>
  </si>
  <si>
    <t>Company 12</t>
  </si>
  <si>
    <t>Company 13</t>
  </si>
  <si>
    <t>Company 14</t>
  </si>
  <si>
    <t>Company 15</t>
  </si>
  <si>
    <t>Company 16</t>
  </si>
  <si>
    <t>Company 17</t>
  </si>
  <si>
    <t>Company 18</t>
  </si>
  <si>
    <t>Company Market Cap Greater than $5k and Revenue Greater than $2k?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</si>
</sst>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quot;£&quot;#,##0.0;[Red]\-&quot;£&quot;#,##0.0"/>
    <numFmt numFmtId="165" formatCode="&quot;$&quot;#,##0"/>
    <numFmt numFmtId="166" formatCode="&quot;$&quot;#,##0.0"/>
    <numFmt numFmtId="167" formatCode="0.0"/>
  </numFmts>
  <fonts count="43">
    <font>
      <sz val="11"/>
      <color theme="1"/>
      <name val="Arial"/>
      <family val="2"/>
      <scheme val="minor"/>
    </font>
    <font>
      <sz val="11"/>
      <color theme="1"/>
      <name val="Arial"/>
      <family val="2"/>
    </font>
    <font>
      <sz val="11"/>
      <color theme="1"/>
      <name val="Arial"/>
      <family val="2"/>
    </font>
    <font>
      <sz val="11"/>
      <color theme="1"/>
      <name val="Arial"/>
      <family val="2"/>
    </font>
    <font>
      <sz val="11"/>
      <color theme="1"/>
      <name val="Arial"/>
      <family val="2"/>
    </font>
    <font>
      <b/>
      <sz val="11"/>
      <color theme="1"/>
      <name val="Arial"/>
      <family val="2"/>
    </font>
    <font>
      <b/>
      <sz val="11"/>
      <color theme="0"/>
      <name val="Arial"/>
      <family val="2"/>
    </font>
    <font>
      <sz val="14"/>
      <color rgb="FF595959"/>
      <name val="Arial"/>
      <family val="2"/>
    </font>
    <font>
      <b/>
      <sz val="14"/>
      <color theme="0"/>
      <name val="Arial"/>
      <family val="2"/>
    </font>
    <font>
      <i/>
      <sz val="11"/>
      <color theme="0" tint="-0.499984740745262"/>
      <name val="Arial"/>
      <family val="2"/>
    </font>
    <font>
      <sz val="10"/>
      <color theme="1"/>
      <name val="Arial"/>
      <family val="2"/>
    </font>
    <font>
      <sz val="11"/>
      <color rgb="FF595959"/>
      <name val="Arial"/>
      <family val="2"/>
    </font>
    <font>
      <sz val="11"/>
      <color theme="1"/>
      <name val="Arial"/>
      <family val="2"/>
      <scheme val="minor"/>
    </font>
    <font>
      <i/>
      <sz val="11"/>
      <color theme="1"/>
      <name val="Arial"/>
      <family val="2"/>
      <scheme val="minor"/>
    </font>
    <font>
      <sz val="11"/>
      <color theme="0"/>
      <name val="Arial"/>
      <family val="2"/>
    </font>
    <font>
      <b/>
      <sz val="11"/>
      <color rgb="FFE10600"/>
      <name val="Arial"/>
      <family val="2"/>
      <scheme val="minor"/>
    </font>
    <font>
      <b/>
      <sz val="11"/>
      <color theme="1"/>
      <name val="Arial"/>
      <family val="2"/>
      <scheme val="minor"/>
    </font>
    <font>
      <b/>
      <sz val="11"/>
      <color theme="0"/>
      <name val="Arial"/>
      <family val="2"/>
      <scheme val="minor"/>
    </font>
    <font>
      <b/>
      <sz val="11"/>
      <color theme="5"/>
      <name val="Arial"/>
      <family val="2"/>
      <scheme val="minor"/>
    </font>
    <font>
      <b/>
      <sz val="11"/>
      <color theme="0"/>
      <name val="Mute"/>
      <family val="2"/>
    </font>
    <font>
      <i/>
      <sz val="11"/>
      <color rgb="FF52575C"/>
      <name val="Mute"/>
      <family val="2"/>
    </font>
    <font>
      <b/>
      <sz val="11"/>
      <color rgb="FF275D38"/>
      <name val="Arial"/>
      <family val="2"/>
      <scheme val="minor"/>
    </font>
    <font>
      <b/>
      <sz val="16"/>
      <color theme="1"/>
      <name val="Arial"/>
      <family val="2"/>
      <scheme val="minor"/>
    </font>
    <font>
      <b/>
      <sz val="14"/>
      <color theme="4"/>
      <name val="Arial"/>
      <family val="2"/>
      <scheme val="minor"/>
    </font>
    <font>
      <b/>
      <sz val="11"/>
      <color theme="4"/>
      <name val="Arial"/>
      <family val="2"/>
      <scheme val="minor"/>
    </font>
    <font>
      <b/>
      <sz val="11"/>
      <color rgb="FF7A5A00"/>
      <name val="Arial"/>
      <family val="2"/>
      <scheme val="minor"/>
    </font>
    <font>
      <b/>
      <sz val="24"/>
      <color theme="1"/>
      <name val="Times New Roman"/>
      <family val="1"/>
    </font>
    <font>
      <sz val="11"/>
      <color theme="4"/>
      <name val="Arial"/>
      <family val="2"/>
      <scheme val="minor"/>
    </font>
    <font>
      <sz val="18"/>
      <color theme="1"/>
      <name val="Mute"/>
      <family val="3"/>
    </font>
    <font>
      <sz val="18"/>
      <color theme="4"/>
      <name val="Mute"/>
      <family val="3"/>
    </font>
    <font>
      <sz val="11"/>
      <color rgb="FF7F7F7F"/>
      <name val="Arial"/>
      <family val="2"/>
      <scheme val="minor"/>
    </font>
    <font>
      <sz val="11"/>
      <color theme="4"/>
      <name val="Arial"/>
      <family val="2"/>
    </font>
    <font>
      <b/>
      <sz val="11"/>
      <color theme="4"/>
      <name val="Arial"/>
      <family val="2"/>
    </font>
    <font>
      <sz val="11"/>
      <color theme="8"/>
      <name val="Arial"/>
      <family val="2"/>
    </font>
    <font>
      <b/>
      <sz val="11"/>
      <color theme="8"/>
      <name val="Arial"/>
      <family val="2"/>
    </font>
    <font>
      <sz val="11"/>
      <color rgb="FFFAFAFA"/>
      <name val="Arial"/>
      <family val="2"/>
    </font>
    <font>
      <sz val="11"/>
      <color theme="0" tint="-0.499984740745262"/>
      <name val="Arial Narrow"/>
      <family val="2"/>
    </font>
    <font>
      <i/>
      <sz val="11"/>
      <color theme="1"/>
      <name val="Arial"/>
      <family val="2"/>
    </font>
    <font>
      <sz val="9"/>
      <color theme="1"/>
      <name val="Arial"/>
      <family val="2"/>
    </font>
    <font>
      <sz val="10"/>
      <name val="Arial"/>
      <family val="2"/>
    </font>
    <font>
      <b/>
      <i/>
      <sz val="11"/>
      <color rgb="FFFF0000"/>
      <name val="Arial"/>
      <family val="2"/>
      <scheme val="minor"/>
    </font>
    <font>
      <b/>
      <sz val="11"/>
      <color rgb="FFFF0000"/>
      <name val="Arial"/>
      <family val="2"/>
      <scheme val="minor"/>
    </font>
    <font>
      <b/>
      <sz val="14"/>
      <color rgb="FF595959"/>
      <name val="Arial"/>
      <family val="2"/>
    </font>
  </fonts>
  <fills count="21">
    <fill>
      <patternFill patternType="none"/>
    </fill>
    <fill>
      <patternFill patternType="gray125"/>
    </fill>
    <fill>
      <patternFill patternType="solid">
        <fgColor theme="4"/>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FFF99"/>
        <bgColor indexed="64"/>
      </patternFill>
    </fill>
    <fill>
      <patternFill patternType="solid">
        <fgColor rgb="FF00A8C8"/>
        <bgColor indexed="64"/>
      </patternFill>
    </fill>
    <fill>
      <patternFill patternType="solid">
        <fgColor theme="0" tint="-0.14993743705557422"/>
        <bgColor indexed="64"/>
      </patternFill>
    </fill>
    <fill>
      <patternFill patternType="solid">
        <fgColor theme="1" tint="0.249977111117893"/>
        <bgColor indexed="64"/>
      </patternFill>
    </fill>
    <fill>
      <patternFill patternType="solid">
        <fgColor theme="6" tint="-0.499984740745262"/>
        <bgColor indexed="64"/>
      </patternFill>
    </fill>
    <fill>
      <patternFill patternType="solid">
        <fgColor rgb="FFF2F2F2"/>
      </patternFill>
    </fill>
    <fill>
      <patternFill patternType="solid">
        <fgColor rgb="FFFFBBB9"/>
        <bgColor indexed="64"/>
      </patternFill>
    </fill>
    <fill>
      <patternFill patternType="solid">
        <fgColor theme="2"/>
        <bgColor indexed="64"/>
      </patternFill>
    </fill>
    <fill>
      <patternFill patternType="solid">
        <fgColor theme="1"/>
        <bgColor indexed="64"/>
      </patternFill>
    </fill>
    <fill>
      <patternFill patternType="solid">
        <fgColor rgb="FFADDFB3"/>
        <bgColor indexed="64"/>
      </patternFill>
    </fill>
    <fill>
      <patternFill patternType="solid">
        <fgColor rgb="FFFCCFAB"/>
        <bgColor indexed="64"/>
      </patternFill>
    </fill>
    <fill>
      <patternFill patternType="solid">
        <fgColor rgb="FFFFE9AB"/>
        <bgColor indexed="64"/>
      </patternFill>
    </fill>
    <fill>
      <patternFill patternType="solid">
        <fgColor rgb="FFFFD775"/>
        <bgColor indexed="64"/>
      </patternFill>
    </fill>
    <fill>
      <patternFill patternType="solid">
        <fgColor rgb="FF52575C"/>
        <bgColor indexed="64"/>
      </patternFill>
    </fill>
    <fill>
      <patternFill patternType="solid">
        <fgColor theme="3"/>
        <bgColor indexed="64"/>
      </patternFill>
    </fill>
    <fill>
      <patternFill patternType="solid">
        <fgColor theme="2" tint="0.59999389629810485"/>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int="-0.24994659260841701"/>
      </top>
      <bottom style="thin">
        <color theme="0" tint="-0.24994659260841701"/>
      </bottom>
      <diagonal/>
    </border>
    <border>
      <left/>
      <right/>
      <top style="thin">
        <color theme="0" tint="-0.24994659260841701"/>
      </top>
      <bottom style="double">
        <color indexed="64"/>
      </bottom>
      <diagonal/>
    </border>
    <border>
      <left/>
      <right/>
      <top/>
      <bottom style="thin">
        <color theme="0" tint="-0.24994659260841701"/>
      </bottom>
      <diagonal/>
    </border>
    <border>
      <left style="thin">
        <color rgb="FF7F7F7F"/>
      </left>
      <right style="thin">
        <color rgb="FF7F7F7F"/>
      </right>
      <top style="thin">
        <color rgb="FF7F7F7F"/>
      </top>
      <bottom style="thin">
        <color rgb="FF7F7F7F"/>
      </bottom>
      <diagonal/>
    </border>
    <border>
      <left style="double">
        <color rgb="FF52575C"/>
      </left>
      <right style="double">
        <color rgb="FF52575C"/>
      </right>
      <top style="double">
        <color rgb="FF52575C"/>
      </top>
      <bottom style="double">
        <color rgb="FF52575C"/>
      </bottom>
      <diagonal/>
    </border>
    <border>
      <left style="thin">
        <color theme="1"/>
      </left>
      <right style="thin">
        <color theme="1"/>
      </right>
      <top style="thin">
        <color theme="1"/>
      </top>
      <bottom style="thin">
        <color theme="1"/>
      </bottom>
      <diagonal/>
    </border>
    <border>
      <left/>
      <right/>
      <top/>
      <bottom style="medium">
        <color theme="4"/>
      </bottom>
      <diagonal/>
    </border>
    <border>
      <left style="thin">
        <color rgb="FF7A5A00"/>
      </left>
      <right style="thin">
        <color rgb="FF7A5A00"/>
      </right>
      <top style="thin">
        <color rgb="FF7A5A00"/>
      </top>
      <bottom style="thin">
        <color rgb="FF7A5A00"/>
      </bottom>
      <diagonal/>
    </border>
    <border>
      <left/>
      <right/>
      <top style="medium">
        <color theme="1"/>
      </top>
      <bottom style="medium">
        <color theme="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style="thin">
        <color theme="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4"/>
      </right>
      <top style="thin">
        <color theme="0"/>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0"/>
      </left>
      <right style="thin">
        <color theme="4"/>
      </right>
      <top style="thin">
        <color theme="0"/>
      </top>
      <bottom style="thin">
        <color theme="4"/>
      </bottom>
      <diagonal/>
    </border>
    <border>
      <left style="thin">
        <color theme="0" tint="-0.24994659260841701"/>
      </left>
      <right style="thin">
        <color theme="4"/>
      </right>
      <top style="thin">
        <color theme="0" tint="-0.24994659260841701"/>
      </top>
      <bottom/>
      <diagonal/>
    </border>
    <border>
      <left style="thin">
        <color theme="0" tint="-0.24994659260841701"/>
      </left>
      <right style="thin">
        <color theme="4"/>
      </right>
      <top/>
      <bottom/>
      <diagonal/>
    </border>
    <border>
      <left style="thin">
        <color theme="4"/>
      </left>
      <right style="thin">
        <color theme="0" tint="-0.24994659260841701"/>
      </right>
      <top style="thin">
        <color theme="0" tint="-0.24994659260841701"/>
      </top>
      <bottom/>
      <diagonal/>
    </border>
    <border>
      <left style="thin">
        <color theme="4"/>
      </left>
      <right style="thin">
        <color theme="0" tint="-0.24994659260841701"/>
      </right>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top style="thin">
        <color theme="0"/>
      </top>
      <bottom style="thin">
        <color theme="4"/>
      </bottom>
      <diagonal/>
    </border>
    <border>
      <left/>
      <right/>
      <top style="thin">
        <color theme="0"/>
      </top>
      <bottom style="thin">
        <color theme="4"/>
      </bottom>
      <diagonal/>
    </border>
    <border>
      <left/>
      <right style="thin">
        <color theme="0"/>
      </right>
      <top style="thin">
        <color theme="0"/>
      </top>
      <bottom style="thin">
        <color theme="4"/>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right/>
      <top style="thin">
        <color theme="2"/>
      </top>
      <bottom style="thin">
        <color theme="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9">
    <xf numFmtId="0" fontId="0" fillId="0" borderId="0" applyProtection="0"/>
    <xf numFmtId="0" fontId="10" fillId="0" borderId="0"/>
    <xf numFmtId="9" fontId="12" fillId="0" borderId="0" applyFont="0" applyFill="0" applyBorder="0" applyAlignment="0" applyProtection="0"/>
    <xf numFmtId="0" fontId="26" fillId="0" borderId="0" applyNumberFormat="0" applyFill="0" applyBorder="0" applyAlignment="0" applyProtection="0"/>
    <xf numFmtId="0" fontId="22" fillId="0" borderId="0" applyNumberFormat="0" applyFill="0" applyAlignment="0" applyProtection="0"/>
    <xf numFmtId="0" fontId="23" fillId="0" borderId="0" applyNumberFormat="0" applyFill="0" applyAlignment="0" applyProtection="0"/>
    <xf numFmtId="0" fontId="21" fillId="14" borderId="0" applyNumberFormat="0" applyBorder="0" applyAlignment="0" applyProtection="0"/>
    <xf numFmtId="0" fontId="15" fillId="11" borderId="0" applyNumberFormat="0" applyBorder="0" applyAlignment="0" applyProtection="0"/>
    <xf numFmtId="0" fontId="25" fillId="16" borderId="0" applyNumberFormat="0" applyBorder="0" applyAlignment="0" applyProtection="0"/>
    <xf numFmtId="0" fontId="16" fillId="15" borderId="24" applyNumberFormat="0" applyAlignment="0" applyProtection="0"/>
    <xf numFmtId="0" fontId="16" fillId="10" borderId="24" applyNumberFormat="0" applyAlignment="0" applyProtection="0"/>
    <xf numFmtId="0" fontId="18" fillId="0" borderId="22" applyNumberFormat="0" applyAlignment="0" applyProtection="0"/>
    <xf numFmtId="0" fontId="24" fillId="0" borderId="25" applyNumberFormat="0" applyFill="0" applyAlignment="0" applyProtection="0"/>
    <xf numFmtId="0" fontId="19" fillId="12" borderId="23" applyNumberFormat="0" applyAlignment="0" applyProtection="0"/>
    <xf numFmtId="0" fontId="15" fillId="0" borderId="0" applyNumberFormat="0" applyFill="0" applyBorder="0" applyAlignment="0" applyProtection="0"/>
    <xf numFmtId="0" fontId="16" fillId="17" borderId="26" applyNumberFormat="0" applyAlignment="0" applyProtection="0"/>
    <xf numFmtId="0" fontId="20" fillId="0" borderId="0" applyNumberFormat="0" applyFill="0" applyBorder="0" applyAlignment="0" applyProtection="0"/>
    <xf numFmtId="0" fontId="16" fillId="0" borderId="27" applyNumberFormat="0" applyFill="0" applyAlignment="0" applyProtection="0"/>
    <xf numFmtId="0" fontId="16" fillId="0" borderId="0" applyBorder="0">
      <alignment vertical="center" wrapText="1"/>
    </xf>
    <xf numFmtId="0" fontId="17" fillId="2" borderId="0" applyProtection="0">
      <alignment vertical="center" wrapText="1"/>
    </xf>
    <xf numFmtId="0" fontId="17" fillId="13" borderId="0" applyProtection="0">
      <alignment horizontal="left" vertical="center" wrapText="1"/>
    </xf>
    <xf numFmtId="0" fontId="12" fillId="0" borderId="0">
      <alignment vertical="center" wrapText="1"/>
    </xf>
    <xf numFmtId="0" fontId="16" fillId="0" borderId="27" applyProtection="0">
      <alignment vertical="center" wrapText="1"/>
    </xf>
    <xf numFmtId="0" fontId="17" fillId="18" borderId="0">
      <alignment vertical="center" wrapText="1"/>
    </xf>
    <xf numFmtId="0" fontId="38" fillId="0" borderId="0"/>
    <xf numFmtId="0" fontId="12" fillId="0" borderId="0"/>
    <xf numFmtId="0" fontId="39" fillId="0" borderId="0"/>
    <xf numFmtId="44" fontId="39" fillId="0" borderId="0" applyFont="0" applyFill="0" applyBorder="0" applyAlignment="0" applyProtection="0"/>
    <xf numFmtId="9" fontId="39" fillId="0" borderId="0" applyFont="0" applyFill="0" applyBorder="0" applyAlignment="0" applyProtection="0"/>
  </cellStyleXfs>
  <cellXfs count="267">
    <xf numFmtId="0" fontId="0" fillId="0" borderId="0" xfId="0"/>
    <xf numFmtId="0" fontId="4" fillId="0" borderId="0" xfId="0" applyFont="1"/>
    <xf numFmtId="0" fontId="7" fillId="0" borderId="0" xfId="0" applyFont="1" applyAlignment="1">
      <alignment horizontal="left" vertical="center" readingOrder="1"/>
    </xf>
    <xf numFmtId="0" fontId="4" fillId="0" borderId="11" xfId="0" applyFont="1" applyBorder="1"/>
    <xf numFmtId="0" fontId="4" fillId="0" borderId="8" xfId="0" applyFont="1" applyBorder="1"/>
    <xf numFmtId="0" fontId="4" fillId="0" borderId="13" xfId="0" applyFont="1" applyBorder="1"/>
    <xf numFmtId="0" fontId="4" fillId="3" borderId="2" xfId="0" applyFont="1" applyFill="1" applyBorder="1"/>
    <xf numFmtId="0" fontId="6" fillId="2" borderId="2" xfId="0" applyFont="1" applyFill="1" applyBorder="1" applyAlignment="1">
      <alignment horizontal="center" vertical="center"/>
    </xf>
    <xf numFmtId="0" fontId="7" fillId="0" borderId="8" xfId="0" applyFont="1" applyBorder="1" applyAlignment="1">
      <alignment horizontal="left" vertical="center" readingOrder="1"/>
    </xf>
    <xf numFmtId="0" fontId="7" fillId="0" borderId="11" xfId="0" applyFont="1" applyBorder="1" applyAlignment="1">
      <alignment horizontal="left" vertical="center" readingOrder="1"/>
    </xf>
    <xf numFmtId="0" fontId="7" fillId="0" borderId="13" xfId="0" applyFont="1" applyBorder="1" applyAlignment="1">
      <alignment horizontal="left" vertical="center" readingOrder="1"/>
    </xf>
    <xf numFmtId="0" fontId="4" fillId="0" borderId="12" xfId="0" applyFont="1" applyBorder="1"/>
    <xf numFmtId="0" fontId="4" fillId="0" borderId="14" xfId="0" applyFont="1" applyBorder="1"/>
    <xf numFmtId="0" fontId="4" fillId="0" borderId="15" xfId="0" applyFont="1" applyBorder="1"/>
    <xf numFmtId="0" fontId="9" fillId="0" borderId="0" xfId="0" applyFont="1" applyAlignment="1">
      <alignment horizontal="center"/>
    </xf>
    <xf numFmtId="0" fontId="7" fillId="0" borderId="12" xfId="0" applyFont="1" applyBorder="1" applyAlignment="1">
      <alignment horizontal="left" vertical="center" readingOrder="1"/>
    </xf>
    <xf numFmtId="0" fontId="4" fillId="0" borderId="0" xfId="0" applyFont="1" applyAlignment="1">
      <alignment horizontal="center"/>
    </xf>
    <xf numFmtId="0" fontId="4" fillId="4" borderId="10" xfId="0" applyFont="1" applyFill="1" applyBorder="1" applyAlignment="1">
      <alignment horizontal="center"/>
    </xf>
    <xf numFmtId="0" fontId="6" fillId="2" borderId="2" xfId="0" applyFont="1" applyFill="1" applyBorder="1"/>
    <xf numFmtId="0" fontId="4" fillId="0" borderId="5" xfId="0" applyFont="1" applyBorder="1" applyAlignment="1">
      <alignment horizontal="center"/>
    </xf>
    <xf numFmtId="164" fontId="4" fillId="0" borderId="0" xfId="0" applyNumberFormat="1" applyFont="1"/>
    <xf numFmtId="0" fontId="4" fillId="0" borderId="6" xfId="0" applyFont="1" applyBorder="1" applyAlignment="1">
      <alignment horizontal="center"/>
    </xf>
    <xf numFmtId="0" fontId="4" fillId="0" borderId="7" xfId="0" applyFont="1" applyBorder="1" applyAlignment="1">
      <alignment horizontal="center"/>
    </xf>
    <xf numFmtId="0" fontId="10" fillId="0" borderId="0" xfId="1"/>
    <xf numFmtId="0" fontId="10" fillId="0" borderId="0" xfId="1" applyAlignment="1">
      <alignment horizontal="center"/>
    </xf>
    <xf numFmtId="0" fontId="6" fillId="6" borderId="17" xfId="0" applyFont="1" applyFill="1" applyBorder="1" applyAlignment="1">
      <alignment horizontal="center" vertical="center" wrapText="1"/>
    </xf>
    <xf numFmtId="0" fontId="6" fillId="6" borderId="18" xfId="0" applyFont="1" applyFill="1" applyBorder="1" applyAlignment="1">
      <alignment horizontal="center" vertical="center" wrapText="1"/>
    </xf>
    <xf numFmtId="0" fontId="6" fillId="6" borderId="16" xfId="0" applyFont="1" applyFill="1" applyBorder="1" applyAlignment="1">
      <alignment horizontal="left" vertical="center" indent="1"/>
    </xf>
    <xf numFmtId="0" fontId="4" fillId="0" borderId="19" xfId="0" applyFont="1" applyBorder="1" applyAlignment="1">
      <alignment horizontal="left" indent="1"/>
    </xf>
    <xf numFmtId="165" fontId="4" fillId="0" borderId="19" xfId="0" applyNumberFormat="1" applyFont="1" applyBorder="1" applyAlignment="1">
      <alignment horizontal="center"/>
    </xf>
    <xf numFmtId="0" fontId="4" fillId="4" borderId="19" xfId="0" applyFont="1" applyFill="1" applyBorder="1" applyAlignment="1">
      <alignment horizontal="center"/>
    </xf>
    <xf numFmtId="165" fontId="4" fillId="4" borderId="19" xfId="0" applyNumberFormat="1" applyFont="1" applyFill="1" applyBorder="1" applyAlignment="1">
      <alignment horizontal="center" vertical="center" wrapText="1"/>
    </xf>
    <xf numFmtId="0" fontId="4" fillId="0" borderId="9" xfId="0" applyFont="1" applyBorder="1"/>
    <xf numFmtId="0" fontId="4" fillId="0" borderId="10" xfId="0" applyFont="1" applyBorder="1"/>
    <xf numFmtId="166" fontId="4" fillId="0" borderId="9" xfId="0" applyNumberFormat="1" applyFont="1" applyBorder="1" applyAlignment="1">
      <alignment horizontal="center"/>
    </xf>
    <xf numFmtId="166" fontId="4" fillId="0" borderId="10" xfId="0" applyNumberFormat="1" applyFont="1" applyBorder="1" applyAlignment="1">
      <alignment horizontal="center"/>
    </xf>
    <xf numFmtId="166" fontId="4" fillId="0" borderId="0" xfId="0" applyNumberFormat="1" applyFont="1" applyAlignment="1">
      <alignment horizontal="center"/>
    </xf>
    <xf numFmtId="166" fontId="4" fillId="0" borderId="12" xfId="0" applyNumberFormat="1" applyFont="1" applyBorder="1" applyAlignment="1">
      <alignment horizontal="center"/>
    </xf>
    <xf numFmtId="166" fontId="4" fillId="0" borderId="14" xfId="0" applyNumberFormat="1" applyFont="1" applyBorder="1" applyAlignment="1">
      <alignment horizontal="center"/>
    </xf>
    <xf numFmtId="166" fontId="4" fillId="0" borderId="15" xfId="0" applyNumberFormat="1" applyFont="1" applyBorder="1" applyAlignment="1">
      <alignment horizontal="center"/>
    </xf>
    <xf numFmtId="166" fontId="4" fillId="4" borderId="3" xfId="0" applyNumberFormat="1" applyFont="1" applyFill="1" applyBorder="1" applyAlignment="1">
      <alignment horizontal="center"/>
    </xf>
    <xf numFmtId="166" fontId="4" fillId="4" borderId="4" xfId="0" applyNumberFormat="1" applyFont="1" applyFill="1" applyBorder="1" applyAlignment="1">
      <alignment horizontal="center"/>
    </xf>
    <xf numFmtId="166" fontId="4" fillId="4" borderId="9" xfId="0" applyNumberFormat="1" applyFont="1" applyFill="1" applyBorder="1" applyAlignment="1">
      <alignment horizontal="center"/>
    </xf>
    <xf numFmtId="166" fontId="4" fillId="4" borderId="10" xfId="0" applyNumberFormat="1" applyFont="1" applyFill="1" applyBorder="1" applyAlignment="1">
      <alignment horizontal="center"/>
    </xf>
    <xf numFmtId="166" fontId="4" fillId="4" borderId="0" xfId="0" applyNumberFormat="1" applyFont="1" applyFill="1" applyAlignment="1">
      <alignment horizontal="center"/>
    </xf>
    <xf numFmtId="166" fontId="4" fillId="4" borderId="12" xfId="0" applyNumberFormat="1" applyFont="1" applyFill="1" applyBorder="1" applyAlignment="1">
      <alignment horizontal="center"/>
    </xf>
    <xf numFmtId="166" fontId="4" fillId="4" borderId="14" xfId="0" applyNumberFormat="1" applyFont="1" applyFill="1" applyBorder="1" applyAlignment="1">
      <alignment horizontal="center"/>
    </xf>
    <xf numFmtId="166" fontId="4" fillId="4" borderId="15" xfId="0" applyNumberFormat="1" applyFont="1" applyFill="1" applyBorder="1" applyAlignment="1">
      <alignment horizontal="center"/>
    </xf>
    <xf numFmtId="0" fontId="4" fillId="0" borderId="19" xfId="0" applyFont="1" applyBorder="1" applyAlignment="1">
      <alignment horizontal="center"/>
    </xf>
    <xf numFmtId="1" fontId="4" fillId="0" borderId="19" xfId="0" applyNumberFormat="1" applyFont="1" applyBorder="1" applyAlignment="1">
      <alignment horizontal="center"/>
    </xf>
    <xf numFmtId="0" fontId="4" fillId="0" borderId="21" xfId="0" applyFont="1" applyBorder="1" applyAlignment="1">
      <alignment horizontal="left" indent="1"/>
    </xf>
    <xf numFmtId="0" fontId="4" fillId="0" borderId="21" xfId="0" applyFont="1" applyBorder="1" applyAlignment="1">
      <alignment horizontal="center"/>
    </xf>
    <xf numFmtId="1" fontId="4" fillId="0" borderId="21" xfId="0" applyNumberFormat="1" applyFont="1" applyBorder="1" applyAlignment="1">
      <alignment horizontal="center"/>
    </xf>
    <xf numFmtId="0" fontId="4" fillId="0" borderId="20" xfId="0" applyFont="1" applyBorder="1" applyAlignment="1">
      <alignment horizontal="left" indent="1"/>
    </xf>
    <xf numFmtId="1" fontId="4" fillId="4" borderId="21" xfId="0" applyNumberFormat="1" applyFont="1" applyFill="1" applyBorder="1" applyAlignment="1">
      <alignment horizontal="center"/>
    </xf>
    <xf numFmtId="1" fontId="4" fillId="4" borderId="19" xfId="0" applyNumberFormat="1" applyFont="1" applyFill="1" applyBorder="1" applyAlignment="1">
      <alignment horizontal="center"/>
    </xf>
    <xf numFmtId="0" fontId="0" fillId="0" borderId="0" xfId="0" applyAlignment="1">
      <alignment horizontal="center"/>
    </xf>
    <xf numFmtId="0" fontId="4" fillId="0" borderId="20" xfId="0" applyFont="1" applyBorder="1" applyAlignment="1">
      <alignment horizontal="center"/>
    </xf>
    <xf numFmtId="167" fontId="0" fillId="0" borderId="0" xfId="0" applyNumberFormat="1"/>
    <xf numFmtId="0" fontId="4" fillId="4" borderId="19" xfId="0" applyFont="1" applyFill="1" applyBorder="1" applyAlignment="1">
      <alignment horizontal="left" indent="1"/>
    </xf>
    <xf numFmtId="0" fontId="4" fillId="4" borderId="21" xfId="0" applyFont="1" applyFill="1" applyBorder="1" applyAlignment="1">
      <alignment horizontal="left" indent="1"/>
    </xf>
    <xf numFmtId="0" fontId="4" fillId="4" borderId="20" xfId="0" applyFont="1" applyFill="1" applyBorder="1" applyAlignment="1">
      <alignment horizontal="left" indent="1"/>
    </xf>
    <xf numFmtId="0" fontId="13" fillId="4" borderId="0" xfId="0" applyFont="1" applyFill="1"/>
    <xf numFmtId="165" fontId="4" fillId="4" borderId="19" xfId="0" applyNumberFormat="1" applyFont="1" applyFill="1" applyBorder="1" applyAlignment="1">
      <alignment horizontal="center"/>
    </xf>
    <xf numFmtId="165" fontId="4" fillId="4" borderId="21" xfId="0" applyNumberFormat="1" applyFont="1" applyFill="1" applyBorder="1" applyAlignment="1">
      <alignment horizontal="center"/>
    </xf>
    <xf numFmtId="165" fontId="4" fillId="4" borderId="20" xfId="0" applyNumberFormat="1" applyFont="1" applyFill="1" applyBorder="1" applyAlignment="1">
      <alignment horizontal="center"/>
    </xf>
    <xf numFmtId="9" fontId="4" fillId="0" borderId="19" xfId="2" applyFont="1" applyBorder="1" applyAlignment="1">
      <alignment horizontal="center"/>
    </xf>
    <xf numFmtId="9" fontId="4" fillId="0" borderId="21" xfId="2" applyFont="1" applyBorder="1" applyAlignment="1">
      <alignment horizontal="center"/>
    </xf>
    <xf numFmtId="9" fontId="4" fillId="0" borderId="20" xfId="2" applyFont="1" applyBorder="1" applyAlignment="1">
      <alignment horizontal="center"/>
    </xf>
    <xf numFmtId="0" fontId="6" fillId="8" borderId="16" xfId="0" applyFont="1" applyFill="1" applyBorder="1" applyAlignment="1">
      <alignment horizontal="center" vertical="center" wrapText="1"/>
    </xf>
    <xf numFmtId="0" fontId="6" fillId="8" borderId="17" xfId="0" applyFont="1" applyFill="1" applyBorder="1" applyAlignment="1">
      <alignment horizontal="center" vertical="center" wrapText="1"/>
    </xf>
    <xf numFmtId="0" fontId="6" fillId="9" borderId="17" xfId="0" applyFont="1" applyFill="1" applyBorder="1" applyAlignment="1">
      <alignment horizontal="center" vertical="center" wrapText="1"/>
    </xf>
    <xf numFmtId="165" fontId="0" fillId="0" borderId="0" xfId="0" applyNumberFormat="1"/>
    <xf numFmtId="9" fontId="4" fillId="4" borderId="19" xfId="2" applyFont="1" applyFill="1" applyBorder="1" applyAlignment="1">
      <alignment horizontal="center"/>
    </xf>
    <xf numFmtId="9" fontId="4" fillId="4" borderId="21" xfId="2" applyFont="1" applyFill="1" applyBorder="1" applyAlignment="1">
      <alignment horizontal="center"/>
    </xf>
    <xf numFmtId="9" fontId="4" fillId="4" borderId="20" xfId="2" applyFont="1" applyFill="1" applyBorder="1" applyAlignment="1">
      <alignment horizontal="center"/>
    </xf>
    <xf numFmtId="165" fontId="4" fillId="0" borderId="21" xfId="0" applyNumberFormat="1" applyFont="1" applyBorder="1" applyAlignment="1">
      <alignment horizontal="center"/>
    </xf>
    <xf numFmtId="1" fontId="4" fillId="0" borderId="20" xfId="0" applyNumberFormat="1" applyFont="1" applyBorder="1" applyAlignment="1">
      <alignment horizontal="center"/>
    </xf>
    <xf numFmtId="165" fontId="4" fillId="0" borderId="20" xfId="0" applyNumberFormat="1" applyFont="1" applyBorder="1" applyAlignment="1">
      <alignment horizontal="center"/>
    </xf>
    <xf numFmtId="0" fontId="28" fillId="0" borderId="0" xfId="0" applyFont="1"/>
    <xf numFmtId="17" fontId="29" fillId="0" borderId="0" xfId="0" quotePrefix="1" applyNumberFormat="1" applyFont="1"/>
    <xf numFmtId="0" fontId="0" fillId="19" borderId="0" xfId="0" applyFill="1"/>
    <xf numFmtId="0" fontId="30" fillId="0" borderId="0" xfId="0" applyFont="1"/>
    <xf numFmtId="0" fontId="27" fillId="0" borderId="0" xfId="0" applyFont="1"/>
    <xf numFmtId="0" fontId="3" fillId="0" borderId="0" xfId="1" applyFont="1"/>
    <xf numFmtId="0" fontId="11" fillId="0" borderId="19" xfId="1" applyFont="1" applyBorder="1" applyAlignment="1">
      <alignment horizontal="left" indent="1"/>
    </xf>
    <xf numFmtId="0" fontId="11" fillId="0" borderId="19" xfId="1" applyFont="1" applyBorder="1" applyAlignment="1">
      <alignment horizontal="center"/>
    </xf>
    <xf numFmtId="0" fontId="3" fillId="0" borderId="0" xfId="1" quotePrefix="1" applyFont="1"/>
    <xf numFmtId="0" fontId="3" fillId="0" borderId="0" xfId="1" quotePrefix="1" applyFont="1" applyAlignment="1">
      <alignment horizontal="left"/>
    </xf>
    <xf numFmtId="0" fontId="6" fillId="19" borderId="16" xfId="1" applyFont="1" applyFill="1" applyBorder="1" applyAlignment="1">
      <alignment horizontal="center" vertical="center" wrapText="1"/>
    </xf>
    <xf numFmtId="0" fontId="6" fillId="19" borderId="17" xfId="1" applyFont="1" applyFill="1" applyBorder="1" applyAlignment="1">
      <alignment horizontal="center" vertical="center" wrapText="1"/>
    </xf>
    <xf numFmtId="0" fontId="6" fillId="19" borderId="18" xfId="1" applyFont="1" applyFill="1" applyBorder="1" applyAlignment="1">
      <alignment horizontal="center" vertical="center" wrapText="1"/>
    </xf>
    <xf numFmtId="0" fontId="3" fillId="5" borderId="34" xfId="1" applyFont="1" applyFill="1" applyBorder="1" applyAlignment="1">
      <alignment horizontal="right"/>
    </xf>
    <xf numFmtId="0" fontId="3" fillId="5" borderId="37" xfId="1" applyFont="1" applyFill="1" applyBorder="1" applyAlignment="1">
      <alignment horizontal="right"/>
    </xf>
    <xf numFmtId="0" fontId="3" fillId="0" borderId="31" xfId="1" applyFont="1" applyBorder="1"/>
    <xf numFmtId="0" fontId="3" fillId="5" borderId="47" xfId="1" applyFont="1" applyFill="1" applyBorder="1" applyAlignment="1">
      <alignment horizontal="right"/>
    </xf>
    <xf numFmtId="0" fontId="37" fillId="0" borderId="31" xfId="1" applyFont="1" applyBorder="1"/>
    <xf numFmtId="0" fontId="11" fillId="0" borderId="21" xfId="0" quotePrefix="1" applyFont="1" applyBorder="1" applyAlignment="1">
      <alignment horizontal="left" vertical="top" wrapText="1" indent="1"/>
    </xf>
    <xf numFmtId="0" fontId="11" fillId="0" borderId="21" xfId="0" applyFont="1" applyBorder="1" applyAlignment="1">
      <alignment horizontal="left" vertical="top" wrapText="1" indent="1"/>
    </xf>
    <xf numFmtId="0" fontId="11" fillId="0" borderId="19" xfId="0" quotePrefix="1" applyFont="1" applyBorder="1" applyAlignment="1">
      <alignment horizontal="left" vertical="top" wrapText="1" indent="1"/>
    </xf>
    <xf numFmtId="0" fontId="11" fillId="0" borderId="19" xfId="0" applyFont="1" applyBorder="1" applyAlignment="1">
      <alignment horizontal="left" vertical="top" wrapText="1" indent="1"/>
    </xf>
    <xf numFmtId="0" fontId="14" fillId="2" borderId="16" xfId="0" applyFont="1" applyFill="1" applyBorder="1" applyAlignment="1">
      <alignment horizontal="center" wrapText="1" readingOrder="1"/>
    </xf>
    <xf numFmtId="0" fontId="14" fillId="2" borderId="18" xfId="0" applyFont="1" applyFill="1" applyBorder="1" applyAlignment="1">
      <alignment horizontal="center" wrapText="1" readingOrder="1"/>
    </xf>
    <xf numFmtId="165" fontId="0" fillId="19" borderId="0" xfId="0" applyNumberFormat="1" applyFill="1"/>
    <xf numFmtId="0" fontId="36" fillId="7" borderId="38" xfId="1" applyFont="1" applyFill="1" applyBorder="1" applyAlignment="1" applyProtection="1">
      <alignment horizontal="left" vertical="center"/>
      <protection hidden="1"/>
    </xf>
    <xf numFmtId="0" fontId="36" fillId="7" borderId="39" xfId="1" applyFont="1" applyFill="1" applyBorder="1" applyAlignment="1" applyProtection="1">
      <alignment horizontal="left" vertical="center"/>
      <protection hidden="1"/>
    </xf>
    <xf numFmtId="0" fontId="36" fillId="7" borderId="40" xfId="1" applyFont="1" applyFill="1" applyBorder="1" applyAlignment="1" applyProtection="1">
      <alignment horizontal="left" vertical="center"/>
      <protection hidden="1"/>
    </xf>
    <xf numFmtId="0" fontId="36" fillId="7" borderId="41" xfId="1" applyFont="1" applyFill="1" applyBorder="1" applyAlignment="1" applyProtection="1">
      <alignment horizontal="left" vertical="center"/>
      <protection hidden="1"/>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1" xfId="0" applyFont="1" applyFill="1" applyBorder="1" applyAlignment="1">
      <alignment horizontal="center"/>
    </xf>
    <xf numFmtId="166" fontId="4" fillId="4" borderId="5" xfId="0" applyNumberFormat="1" applyFont="1" applyFill="1" applyBorder="1" applyAlignment="1">
      <alignment horizontal="center"/>
    </xf>
    <xf numFmtId="166" fontId="4" fillId="4" borderId="6" xfId="0" applyNumberFormat="1" applyFont="1" applyFill="1" applyBorder="1" applyAlignment="1">
      <alignment horizontal="center"/>
    </xf>
    <xf numFmtId="166" fontId="4" fillId="4" borderId="7" xfId="0" applyNumberFormat="1" applyFont="1" applyFill="1" applyBorder="1" applyAlignment="1">
      <alignment horizontal="center"/>
    </xf>
    <xf numFmtId="0" fontId="2" fillId="0" borderId="20" xfId="0" applyFont="1" applyBorder="1" applyAlignment="1">
      <alignment horizontal="center"/>
    </xf>
    <xf numFmtId="0" fontId="3" fillId="5" borderId="51" xfId="1" applyFont="1" applyFill="1" applyBorder="1" applyAlignment="1">
      <alignment horizontal="right"/>
    </xf>
    <xf numFmtId="0" fontId="3" fillId="5" borderId="52" xfId="1" applyFont="1" applyFill="1" applyBorder="1" applyAlignment="1">
      <alignment horizontal="right"/>
    </xf>
    <xf numFmtId="0" fontId="3" fillId="5" borderId="53" xfId="1" applyFont="1" applyFill="1" applyBorder="1" applyAlignment="1">
      <alignment horizontal="right"/>
    </xf>
    <xf numFmtId="0" fontId="3" fillId="5" borderId="10" xfId="1" applyFont="1" applyFill="1" applyBorder="1" applyAlignment="1">
      <alignment horizontal="right"/>
    </xf>
    <xf numFmtId="0" fontId="3" fillId="5" borderId="15" xfId="1" applyFont="1" applyFill="1" applyBorder="1" applyAlignment="1">
      <alignment horizontal="right"/>
    </xf>
    <xf numFmtId="165" fontId="4" fillId="5" borderId="5" xfId="0" applyNumberFormat="1" applyFont="1" applyFill="1" applyBorder="1" applyAlignment="1">
      <alignment horizontal="center"/>
    </xf>
    <xf numFmtId="165" fontId="4" fillId="5" borderId="6" xfId="0" applyNumberFormat="1" applyFont="1" applyFill="1" applyBorder="1" applyAlignment="1">
      <alignment horizontal="center"/>
    </xf>
    <xf numFmtId="165" fontId="4" fillId="5" borderId="7" xfId="0" applyNumberFormat="1" applyFont="1" applyFill="1" applyBorder="1" applyAlignment="1">
      <alignment horizontal="center"/>
    </xf>
    <xf numFmtId="166" fontId="4" fillId="5" borderId="3" xfId="0" applyNumberFormat="1" applyFont="1" applyFill="1" applyBorder="1" applyAlignment="1">
      <alignment horizontal="center"/>
    </xf>
    <xf numFmtId="166" fontId="4" fillId="5" borderId="4" xfId="0" applyNumberFormat="1" applyFont="1" applyFill="1" applyBorder="1" applyAlignment="1">
      <alignment horizontal="center"/>
    </xf>
    <xf numFmtId="166" fontId="4" fillId="5" borderId="9" xfId="0" applyNumberFormat="1" applyFont="1" applyFill="1" applyBorder="1" applyAlignment="1">
      <alignment horizontal="center"/>
    </xf>
    <xf numFmtId="166" fontId="4" fillId="5" borderId="10" xfId="0" applyNumberFormat="1" applyFont="1" applyFill="1" applyBorder="1" applyAlignment="1">
      <alignment horizontal="center"/>
    </xf>
    <xf numFmtId="166" fontId="4" fillId="5" borderId="0" xfId="0" applyNumberFormat="1" applyFont="1" applyFill="1" applyAlignment="1">
      <alignment horizontal="center"/>
    </xf>
    <xf numFmtId="166" fontId="4" fillId="5" borderId="12" xfId="0" applyNumberFormat="1" applyFont="1" applyFill="1" applyBorder="1" applyAlignment="1">
      <alignment horizontal="center"/>
    </xf>
    <xf numFmtId="166" fontId="4" fillId="5" borderId="14" xfId="0" applyNumberFormat="1" applyFont="1" applyFill="1" applyBorder="1" applyAlignment="1">
      <alignment horizontal="center"/>
    </xf>
    <xf numFmtId="166" fontId="4" fillId="5" borderId="15" xfId="0" applyNumberFormat="1" applyFont="1" applyFill="1" applyBorder="1" applyAlignment="1">
      <alignment horizontal="center"/>
    </xf>
    <xf numFmtId="0" fontId="4" fillId="5" borderId="19" xfId="0" applyFont="1" applyFill="1" applyBorder="1" applyAlignment="1">
      <alignment horizontal="left" indent="1"/>
    </xf>
    <xf numFmtId="0" fontId="4" fillId="5" borderId="21" xfId="0" applyFont="1" applyFill="1" applyBorder="1" applyAlignment="1">
      <alignment horizontal="left" indent="1"/>
    </xf>
    <xf numFmtId="0" fontId="4" fillId="5" borderId="20" xfId="0" applyFont="1" applyFill="1" applyBorder="1" applyAlignment="1">
      <alignment horizontal="left" indent="1"/>
    </xf>
    <xf numFmtId="167" fontId="4" fillId="5" borderId="21" xfId="0" applyNumberFormat="1" applyFont="1" applyFill="1" applyBorder="1" applyAlignment="1">
      <alignment horizontal="center"/>
    </xf>
    <xf numFmtId="165" fontId="4" fillId="5" borderId="21" xfId="0" applyNumberFormat="1" applyFont="1" applyFill="1" applyBorder="1" applyAlignment="1">
      <alignment horizontal="center"/>
    </xf>
    <xf numFmtId="167" fontId="4" fillId="5" borderId="19" xfId="0" applyNumberFormat="1" applyFont="1" applyFill="1" applyBorder="1" applyAlignment="1">
      <alignment horizontal="center"/>
    </xf>
    <xf numFmtId="165" fontId="4" fillId="5" borderId="19" xfId="0" applyNumberFormat="1" applyFont="1" applyFill="1" applyBorder="1" applyAlignment="1">
      <alignment horizontal="center"/>
    </xf>
    <xf numFmtId="1" fontId="4" fillId="5" borderId="19" xfId="0" applyNumberFormat="1" applyFont="1" applyFill="1" applyBorder="1" applyAlignment="1">
      <alignment horizontal="center"/>
    </xf>
    <xf numFmtId="9" fontId="4" fillId="5" borderId="19" xfId="2" applyFont="1" applyFill="1" applyBorder="1" applyAlignment="1">
      <alignment horizontal="center"/>
    </xf>
    <xf numFmtId="9" fontId="4" fillId="5" borderId="21" xfId="2" applyFont="1" applyFill="1" applyBorder="1" applyAlignment="1">
      <alignment horizontal="center"/>
    </xf>
    <xf numFmtId="165" fontId="4" fillId="5" borderId="20" xfId="0" applyNumberFormat="1" applyFont="1" applyFill="1" applyBorder="1" applyAlignment="1">
      <alignment horizontal="center"/>
    </xf>
    <xf numFmtId="9" fontId="4" fillId="5" borderId="20" xfId="2" applyFont="1" applyFill="1" applyBorder="1" applyAlignment="1">
      <alignment horizontal="center"/>
    </xf>
    <xf numFmtId="0" fontId="2" fillId="0" borderId="0" xfId="0" applyFont="1" applyAlignment="1">
      <alignment horizontal="left" vertical="top" wrapText="1"/>
    </xf>
    <xf numFmtId="0" fontId="4" fillId="0" borderId="0" xfId="0" applyFont="1" applyAlignment="1">
      <alignment horizontal="left" vertical="top" wrapText="1"/>
    </xf>
    <xf numFmtId="0" fontId="7" fillId="0" borderId="11" xfId="0" quotePrefix="1" applyFont="1" applyBorder="1" applyAlignment="1">
      <alignment horizontal="left" vertical="center" readingOrder="1"/>
    </xf>
    <xf numFmtId="0" fontId="7" fillId="0" borderId="0" xfId="0" quotePrefix="1" applyFont="1" applyAlignment="1">
      <alignment horizontal="left" vertical="center" readingOrder="1"/>
    </xf>
    <xf numFmtId="2" fontId="4" fillId="0" borderId="0" xfId="0" applyNumberFormat="1" applyFont="1"/>
    <xf numFmtId="2" fontId="1" fillId="0" borderId="0" xfId="0" applyNumberFormat="1" applyFont="1"/>
    <xf numFmtId="0" fontId="7" fillId="0" borderId="11" xfId="0" quotePrefix="1" applyFont="1" applyBorder="1" applyAlignment="1">
      <alignment vertical="center" readingOrder="1"/>
    </xf>
    <xf numFmtId="0" fontId="7" fillId="0" borderId="0" xfId="0" quotePrefix="1" applyFont="1" applyAlignment="1">
      <alignment vertical="center" readingOrder="1"/>
    </xf>
    <xf numFmtId="1" fontId="7" fillId="0" borderId="11" xfId="0" quotePrefix="1" applyNumberFormat="1" applyFont="1" applyBorder="1" applyAlignment="1">
      <alignment vertical="center" readingOrder="1"/>
    </xf>
    <xf numFmtId="1" fontId="7" fillId="0" borderId="0" xfId="0" quotePrefix="1" applyNumberFormat="1" applyFont="1" applyAlignment="1">
      <alignment vertical="center" readingOrder="1"/>
    </xf>
    <xf numFmtId="0" fontId="7" fillId="0" borderId="8" xfId="0" quotePrefix="1" applyFont="1" applyBorder="1" applyAlignment="1">
      <alignment vertical="center" readingOrder="1"/>
    </xf>
    <xf numFmtId="0" fontId="7" fillId="0" borderId="9" xfId="0" quotePrefix="1" applyFont="1" applyBorder="1" applyAlignment="1">
      <alignment vertical="center" readingOrder="1"/>
    </xf>
    <xf numFmtId="0" fontId="8" fillId="2" borderId="2" xfId="0" applyFont="1" applyFill="1" applyBorder="1" applyAlignment="1">
      <alignment horizontal="centerContinuous" vertical="center" readingOrder="1"/>
    </xf>
    <xf numFmtId="0" fontId="8" fillId="2" borderId="3" xfId="0" applyFont="1" applyFill="1" applyBorder="1" applyAlignment="1">
      <alignment horizontal="centerContinuous" vertical="center" readingOrder="1"/>
    </xf>
    <xf numFmtId="0" fontId="16" fillId="0" borderId="0" xfId="0" applyFont="1"/>
    <xf numFmtId="0" fontId="0" fillId="0" borderId="54" xfId="0" applyBorder="1"/>
    <xf numFmtId="0" fontId="0" fillId="0" borderId="56" xfId="0" applyBorder="1"/>
    <xf numFmtId="0" fontId="0" fillId="0" borderId="58" xfId="0" applyBorder="1"/>
    <xf numFmtId="0" fontId="0" fillId="0" borderId="59" xfId="0" applyBorder="1"/>
    <xf numFmtId="165" fontId="0" fillId="0" borderId="58" xfId="0" applyNumberFormat="1" applyBorder="1" applyAlignment="1">
      <alignment horizontal="center"/>
    </xf>
    <xf numFmtId="165" fontId="0" fillId="0" borderId="54" xfId="0" applyNumberFormat="1" applyBorder="1" applyAlignment="1">
      <alignment horizontal="center"/>
    </xf>
    <xf numFmtId="0" fontId="0" fillId="0" borderId="58" xfId="0" applyBorder="1" applyAlignment="1">
      <alignment horizontal="center"/>
    </xf>
    <xf numFmtId="0" fontId="0" fillId="0" borderId="54" xfId="0" applyBorder="1" applyAlignment="1">
      <alignment horizontal="center"/>
    </xf>
    <xf numFmtId="0" fontId="17" fillId="13" borderId="60" xfId="0" applyFont="1" applyFill="1" applyBorder="1" applyAlignment="1">
      <alignment horizontal="center"/>
    </xf>
    <xf numFmtId="0" fontId="17" fillId="13" borderId="61" xfId="0" applyFont="1" applyFill="1" applyBorder="1" applyAlignment="1">
      <alignment horizontal="center"/>
    </xf>
    <xf numFmtId="0" fontId="17" fillId="13" borderId="62" xfId="0" applyFont="1" applyFill="1" applyBorder="1" applyAlignment="1">
      <alignment horizontal="center"/>
    </xf>
    <xf numFmtId="0" fontId="0" fillId="0" borderId="57" xfId="0" applyBorder="1" applyAlignment="1">
      <alignment horizontal="center"/>
    </xf>
    <xf numFmtId="0" fontId="0" fillId="0" borderId="55" xfId="0" applyBorder="1" applyAlignment="1">
      <alignment horizontal="center"/>
    </xf>
    <xf numFmtId="1" fontId="0" fillId="0" borderId="0" xfId="0" applyNumberFormat="1"/>
    <xf numFmtId="167" fontId="0" fillId="0" borderId="0" xfId="0" applyNumberFormat="1" applyAlignment="1">
      <alignment horizontal="center"/>
    </xf>
    <xf numFmtId="2" fontId="0" fillId="0" borderId="0" xfId="0" applyNumberFormat="1" applyAlignment="1">
      <alignment horizontal="center"/>
    </xf>
    <xf numFmtId="0" fontId="35" fillId="0" borderId="0" xfId="1" applyFont="1" applyAlignment="1">
      <alignment vertical="center"/>
    </xf>
    <xf numFmtId="1" fontId="7" fillId="0" borderId="13" xfId="0" quotePrefix="1" applyNumberFormat="1" applyFont="1" applyBorder="1" applyAlignment="1">
      <alignment vertical="center" readingOrder="1"/>
    </xf>
    <xf numFmtId="1" fontId="7" fillId="0" borderId="14" xfId="0" quotePrefix="1" applyNumberFormat="1" applyFont="1" applyBorder="1" applyAlignment="1">
      <alignment vertical="center" readingOrder="1"/>
    </xf>
    <xf numFmtId="0" fontId="1" fillId="0" borderId="0" xfId="0" applyFont="1"/>
    <xf numFmtId="0" fontId="17" fillId="13" borderId="54" xfId="0" applyFont="1" applyFill="1" applyBorder="1" applyAlignment="1">
      <alignment horizontal="center" wrapText="1"/>
    </xf>
    <xf numFmtId="0" fontId="0" fillId="0" borderId="2" xfId="0" applyBorder="1"/>
    <xf numFmtId="0" fontId="0" fillId="0" borderId="4" xfId="0" applyBorder="1"/>
    <xf numFmtId="0" fontId="2" fillId="0" borderId="0" xfId="0" applyFont="1" applyAlignment="1">
      <alignment vertical="center" wrapText="1"/>
    </xf>
    <xf numFmtId="0" fontId="4" fillId="0" borderId="0" xfId="0" applyFont="1" applyAlignment="1">
      <alignment vertical="center" wrapText="1"/>
    </xf>
    <xf numFmtId="0" fontId="40" fillId="0" borderId="0" xfId="0" applyFont="1" applyAlignment="1">
      <alignment wrapText="1"/>
    </xf>
    <xf numFmtId="0" fontId="41" fillId="0" borderId="0" xfId="0" applyFont="1" applyAlignment="1">
      <alignment vertical="center" wrapText="1"/>
    </xf>
    <xf numFmtId="0" fontId="8" fillId="2" borderId="4" xfId="0" applyFont="1" applyFill="1" applyBorder="1" applyAlignment="1">
      <alignment horizontal="centerContinuous" vertical="center" readingOrder="1"/>
    </xf>
    <xf numFmtId="0" fontId="42" fillId="0" borderId="11" xfId="0" quotePrefix="1" applyFont="1" applyBorder="1" applyAlignment="1">
      <alignmen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42" fillId="0" borderId="11"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7" fillId="0" borderId="0" xfId="0" applyFont="1" applyAlignment="1">
      <alignment horizontal="left" vertical="center" wrapText="1" readingOrder="1"/>
    </xf>
    <xf numFmtId="0" fontId="7" fillId="0" borderId="12" xfId="0" applyFont="1" applyBorder="1" applyAlignment="1">
      <alignment horizontal="left" vertical="center" wrapText="1" readingOrder="1"/>
    </xf>
    <xf numFmtId="0" fontId="42" fillId="0" borderId="13" xfId="0" quotePrefix="1" applyFont="1" applyBorder="1" applyAlignment="1">
      <alignment horizontal="left" vertical="center" readingOrder="1"/>
    </xf>
    <xf numFmtId="1" fontId="42" fillId="0" borderId="11" xfId="0" quotePrefix="1" applyNumberFormat="1" applyFont="1" applyBorder="1" applyAlignment="1">
      <alignment vertical="center" readingOrder="1"/>
    </xf>
    <xf numFmtId="0" fontId="1" fillId="0" borderId="0" xfId="1" applyFont="1"/>
    <xf numFmtId="0" fontId="1" fillId="0" borderId="0" xfId="1" quotePrefix="1" applyFont="1" applyAlignment="1">
      <alignment horizontal="left"/>
    </xf>
    <xf numFmtId="0" fontId="1" fillId="5" borderId="34" xfId="1" applyFont="1" applyFill="1" applyBorder="1" applyAlignment="1">
      <alignment horizontal="right"/>
    </xf>
    <xf numFmtId="0" fontId="1" fillId="5" borderId="37" xfId="1" applyFont="1" applyFill="1" applyBorder="1" applyAlignment="1">
      <alignment horizontal="right"/>
    </xf>
    <xf numFmtId="0" fontId="1" fillId="0" borderId="0" xfId="1" quotePrefix="1" applyFont="1"/>
    <xf numFmtId="0" fontId="1" fillId="0" borderId="31" xfId="1" applyFont="1" applyBorder="1"/>
    <xf numFmtId="0" fontId="1" fillId="5" borderId="47" xfId="1" applyFont="1" applyFill="1" applyBorder="1" applyAlignment="1">
      <alignment horizontal="right"/>
    </xf>
    <xf numFmtId="0" fontId="1" fillId="0" borderId="19" xfId="0" applyFont="1" applyBorder="1" applyAlignment="1">
      <alignment horizontal="left" indent="1"/>
    </xf>
    <xf numFmtId="0" fontId="42" fillId="0" borderId="0" xfId="0" applyFont="1" applyAlignment="1">
      <alignment horizontal="left" vertical="center" readingOrder="1"/>
    </xf>
    <xf numFmtId="0" fontId="1" fillId="0" borderId="8" xfId="0" applyFont="1" applyBorder="1"/>
    <xf numFmtId="0" fontId="1" fillId="0" borderId="11" xfId="0" applyFont="1" applyBorder="1"/>
    <xf numFmtId="0" fontId="0" fillId="0" borderId="0" xfId="0"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1" fillId="0" borderId="0" xfId="0" applyFont="1" applyAlignment="1">
      <alignment horizontal="left" vertical="top" wrapText="1"/>
    </xf>
    <xf numFmtId="0" fontId="4" fillId="0" borderId="0" xfId="0" applyFont="1" applyAlignment="1">
      <alignment horizontal="left" vertical="top" wrapText="1"/>
    </xf>
    <xf numFmtId="0" fontId="1" fillId="20" borderId="48" xfId="1" quotePrefix="1" applyFont="1" applyFill="1" applyBorder="1" applyAlignment="1">
      <alignment horizontal="left" vertical="top" indent="1"/>
    </xf>
    <xf numFmtId="0" fontId="1" fillId="20" borderId="49" xfId="1" quotePrefix="1" applyFont="1" applyFill="1" applyBorder="1" applyAlignment="1">
      <alignment horizontal="left" vertical="top" indent="1"/>
    </xf>
    <xf numFmtId="0" fontId="1" fillId="20" borderId="50" xfId="1" quotePrefix="1" applyFont="1" applyFill="1" applyBorder="1" applyAlignment="1">
      <alignment horizontal="left" vertical="top" indent="1"/>
    </xf>
    <xf numFmtId="0" fontId="35" fillId="2" borderId="42" xfId="1" applyFont="1" applyFill="1" applyBorder="1" applyAlignment="1">
      <alignment horizontal="center" vertical="center"/>
    </xf>
    <xf numFmtId="0" fontId="35" fillId="2" borderId="43" xfId="1" applyFont="1" applyFill="1" applyBorder="1" applyAlignment="1">
      <alignment horizontal="center" vertical="center"/>
    </xf>
    <xf numFmtId="0" fontId="35" fillId="2" borderId="44" xfId="1" applyFont="1" applyFill="1" applyBorder="1" applyAlignment="1">
      <alignment horizontal="center" vertical="center"/>
    </xf>
    <xf numFmtId="0" fontId="1" fillId="20" borderId="45" xfId="1" quotePrefix="1" applyFont="1" applyFill="1" applyBorder="1" applyAlignment="1">
      <alignment horizontal="left" vertical="top" indent="1"/>
    </xf>
    <xf numFmtId="0" fontId="0" fillId="20" borderId="46" xfId="0" applyFill="1" applyBorder="1" applyAlignment="1">
      <alignment horizontal="left" vertical="top" indent="1"/>
    </xf>
    <xf numFmtId="0" fontId="35" fillId="2" borderId="28" xfId="1" applyFont="1" applyFill="1" applyBorder="1" applyAlignment="1">
      <alignment horizontal="center" vertical="center"/>
    </xf>
    <xf numFmtId="0" fontId="35" fillId="2" borderId="29" xfId="1" applyFont="1" applyFill="1" applyBorder="1" applyAlignment="1">
      <alignment horizontal="center" vertical="center"/>
    </xf>
    <xf numFmtId="0" fontId="35" fillId="2" borderId="30" xfId="1" applyFont="1" applyFill="1" applyBorder="1" applyAlignment="1">
      <alignment horizontal="center" vertical="center"/>
    </xf>
    <xf numFmtId="0" fontId="3" fillId="20" borderId="32" xfId="1" quotePrefix="1" applyFont="1" applyFill="1" applyBorder="1" applyAlignment="1">
      <alignment horizontal="left" vertical="top" indent="1"/>
    </xf>
    <xf numFmtId="0" fontId="0" fillId="20" borderId="33" xfId="0" applyFill="1" applyBorder="1" applyAlignment="1">
      <alignment horizontal="left" vertical="top" indent="1"/>
    </xf>
    <xf numFmtId="0" fontId="3" fillId="20" borderId="35" xfId="1" quotePrefix="1" applyFont="1" applyFill="1" applyBorder="1" applyAlignment="1">
      <alignment horizontal="left" vertical="top" indent="1"/>
    </xf>
    <xf numFmtId="0" fontId="0" fillId="20" borderId="36" xfId="0" applyFill="1" applyBorder="1" applyAlignment="1">
      <alignment horizontal="left" vertical="top" indent="1"/>
    </xf>
    <xf numFmtId="0" fontId="2" fillId="20" borderId="49" xfId="1" quotePrefix="1" applyFont="1" applyFill="1" applyBorder="1" applyAlignment="1">
      <alignment horizontal="left" vertical="top" indent="1"/>
    </xf>
    <xf numFmtId="0" fontId="2" fillId="20" borderId="50" xfId="1" quotePrefix="1" applyFont="1" applyFill="1" applyBorder="1" applyAlignment="1">
      <alignment horizontal="left" vertical="top" indent="1"/>
    </xf>
    <xf numFmtId="0" fontId="1" fillId="20" borderId="35" xfId="1" quotePrefix="1" applyFont="1" applyFill="1" applyBorder="1" applyAlignment="1">
      <alignment horizontal="left" vertical="top" indent="1"/>
    </xf>
    <xf numFmtId="0" fontId="1" fillId="20" borderId="32" xfId="1" quotePrefix="1" applyFont="1" applyFill="1" applyBorder="1" applyAlignment="1">
      <alignment horizontal="left" vertical="top" indent="1"/>
    </xf>
    <xf numFmtId="0" fontId="27" fillId="0" borderId="0" xfId="0" applyFont="1" applyAlignment="1">
      <alignment horizontal="left" vertical="top" wrapText="1"/>
    </xf>
    <xf numFmtId="0" fontId="7" fillId="0" borderId="11" xfId="0" quotePrefix="1" applyFont="1" applyBorder="1" applyAlignment="1">
      <alignment horizontal="left" vertical="center" readingOrder="1"/>
    </xf>
    <xf numFmtId="0" fontId="7" fillId="0" borderId="0" xfId="0" quotePrefix="1" applyFont="1" applyAlignment="1">
      <alignment horizontal="left" vertical="center" readingOrder="1"/>
    </xf>
    <xf numFmtId="0" fontId="42" fillId="0" borderId="11" xfId="0" quotePrefix="1" applyFont="1" applyBorder="1" applyAlignment="1">
      <alignment horizontal="left" vertical="center" readingOrder="1"/>
    </xf>
    <xf numFmtId="0" fontId="42" fillId="0" borderId="0" xfId="0" quotePrefix="1" applyFont="1" applyAlignment="1">
      <alignment horizontal="left" vertical="center" readingOrder="1"/>
    </xf>
    <xf numFmtId="0" fontId="42" fillId="0" borderId="13" xfId="0" quotePrefix="1" applyFont="1" applyBorder="1" applyAlignment="1">
      <alignment horizontal="left" vertical="center" readingOrder="1"/>
    </xf>
    <xf numFmtId="0" fontId="42" fillId="0" borderId="14" xfId="0" quotePrefix="1" applyFont="1" applyBorder="1" applyAlignment="1">
      <alignment horizontal="left" vertical="center" readingOrder="1"/>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7" fillId="0" borderId="0" xfId="0" applyFont="1" applyAlignment="1">
      <alignment horizontal="left" vertical="center" readingOrder="1"/>
    </xf>
    <xf numFmtId="0" fontId="7" fillId="0" borderId="12" xfId="0" applyFont="1" applyBorder="1" applyAlignment="1">
      <alignment horizontal="left" vertical="center" readingOrder="1"/>
    </xf>
    <xf numFmtId="0" fontId="4" fillId="0" borderId="9" xfId="0" applyFont="1" applyBorder="1"/>
    <xf numFmtId="0" fontId="4" fillId="0" borderId="10" xfId="0" applyFont="1" applyBorder="1"/>
    <xf numFmtId="0" fontId="8" fillId="2" borderId="2" xfId="0" applyFont="1" applyFill="1" applyBorder="1" applyAlignment="1">
      <alignment horizontal="center" vertical="center" readingOrder="1"/>
    </xf>
    <xf numFmtId="0" fontId="8" fillId="2" borderId="3" xfId="0" applyFont="1" applyFill="1" applyBorder="1" applyAlignment="1">
      <alignment horizontal="center" vertical="center" readingOrder="1"/>
    </xf>
    <xf numFmtId="0" fontId="42" fillId="0" borderId="8" xfId="0" quotePrefix="1" applyFont="1" applyBorder="1" applyAlignment="1">
      <alignment horizontal="left" vertical="center" readingOrder="1"/>
    </xf>
    <xf numFmtId="0" fontId="42" fillId="0" borderId="9" xfId="0" quotePrefix="1"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8" fillId="2" borderId="4" xfId="0" applyFont="1" applyFill="1" applyBorder="1" applyAlignment="1">
      <alignment horizontal="center" vertical="center" readingOrder="1"/>
    </xf>
    <xf numFmtId="0" fontId="7" fillId="0" borderId="9" xfId="0" applyFont="1" applyBorder="1" applyAlignment="1">
      <alignment horizontal="left" vertical="center" readingOrder="1"/>
    </xf>
    <xf numFmtId="0" fontId="7" fillId="0" borderId="10" xfId="0" applyFont="1" applyBorder="1" applyAlignment="1">
      <alignment horizontal="left" vertical="center" readingOrder="1"/>
    </xf>
    <xf numFmtId="0" fontId="7" fillId="0" borderId="13"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4" fillId="4" borderId="0" xfId="0" applyFont="1" applyFill="1" applyAlignment="1">
      <alignment horizontal="center" vertical="center" wrapText="1"/>
    </xf>
    <xf numFmtId="0" fontId="4" fillId="4" borderId="0" xfId="0" applyFont="1" applyFill="1" applyAlignment="1">
      <alignment horizontal="center" vertical="center"/>
    </xf>
    <xf numFmtId="0" fontId="2" fillId="4" borderId="0" xfId="0" applyFont="1" applyFill="1" applyAlignment="1">
      <alignment horizontal="center" vertical="center" wrapText="1"/>
    </xf>
    <xf numFmtId="0" fontId="40" fillId="0" borderId="0" xfId="0" applyFont="1" applyAlignment="1">
      <alignment horizontal="center" wrapText="1"/>
    </xf>
    <xf numFmtId="0" fontId="41" fillId="0" borderId="0" xfId="0" applyFont="1" applyAlignment="1">
      <alignment horizontal="left" vertical="center" wrapText="1"/>
    </xf>
    <xf numFmtId="0" fontId="42" fillId="0" borderId="0" xfId="0" applyFont="1" applyAlignment="1">
      <alignment horizontal="left" vertical="center" readingOrder="1"/>
    </xf>
    <xf numFmtId="0" fontId="42" fillId="0" borderId="12" xfId="0" applyFont="1" applyBorder="1" applyAlignment="1">
      <alignment horizontal="left" vertical="center" readingOrder="1"/>
    </xf>
    <xf numFmtId="0" fontId="42" fillId="0" borderId="14" xfId="0" applyFont="1" applyBorder="1" applyAlignment="1">
      <alignment horizontal="left" vertical="center" readingOrder="1"/>
    </xf>
    <xf numFmtId="0" fontId="42" fillId="0" borderId="15" xfId="0" applyFont="1" applyBorder="1" applyAlignment="1">
      <alignment horizontal="left" vertical="center" readingOrder="1"/>
    </xf>
    <xf numFmtId="0" fontId="7" fillId="0" borderId="0" xfId="0" applyFont="1" applyAlignment="1">
      <alignment horizontal="left" vertical="center" wrapText="1" readingOrder="1"/>
    </xf>
    <xf numFmtId="0" fontId="7" fillId="0" borderId="12" xfId="0" applyFont="1" applyBorder="1" applyAlignment="1">
      <alignment horizontal="left" vertical="center" wrapText="1" readingOrder="1"/>
    </xf>
    <xf numFmtId="0" fontId="8" fillId="2" borderId="9" xfId="0" applyFont="1" applyFill="1" applyBorder="1" applyAlignment="1">
      <alignment horizontal="center" vertical="center" readingOrder="1"/>
    </xf>
    <xf numFmtId="0" fontId="8" fillId="2" borderId="10" xfId="0" applyFont="1" applyFill="1" applyBorder="1" applyAlignment="1">
      <alignment horizontal="center" vertical="center" readingOrder="1"/>
    </xf>
  </cellXfs>
  <cellStyles count="29">
    <cellStyle name="Bad" xfId="7" builtinId="27" customBuiltin="1"/>
    <cellStyle name="Bold Table Text" xfId="18" xr:uid="{00000000-0005-0000-0000-000001000000}"/>
    <cellStyle name="Bright Blue Header Cell" xfId="19" xr:uid="{00000000-0005-0000-0000-000002000000}"/>
    <cellStyle name="Calculation" xfId="11" builtinId="22" customBuiltin="1"/>
    <cellStyle name="Check Cell" xfId="13" builtinId="23" customBuiltin="1"/>
    <cellStyle name="Currency 2" xfId="27" xr:uid="{00000000-0005-0000-0000-000005000000}"/>
    <cellStyle name="Dark Blue Header Cell" xfId="20" xr:uid="{00000000-0005-0000-0000-000006000000}"/>
    <cellStyle name="Explanatory Text" xfId="16" builtinId="53" customBuiltin="1"/>
    <cellStyle name="Good" xfId="6" builtinId="26" customBuiltin="1"/>
    <cellStyle name="Heading 1" xfId="4" builtinId="16" customBuiltin="1"/>
    <cellStyle name="Heading 2" xfId="5" builtinId="17" customBuiltin="1"/>
    <cellStyle name="Input" xfId="9" builtinId="20" customBuiltin="1"/>
    <cellStyle name="Linked Cell" xfId="12" builtinId="24" customBuiltin="1"/>
    <cellStyle name="Neutral" xfId="8" builtinId="28" customBuiltin="1"/>
    <cellStyle name="Normal" xfId="0" builtinId="0" customBuiltin="1"/>
    <cellStyle name="Normal 19" xfId="25" xr:uid="{00000000-0005-0000-0000-00000F000000}"/>
    <cellStyle name="Normal 2" xfId="1" xr:uid="{00000000-0005-0000-0000-000010000000}"/>
    <cellStyle name="Normal 2 2" xfId="26" xr:uid="{00000000-0005-0000-0000-000011000000}"/>
    <cellStyle name="Normal 3" xfId="24" xr:uid="{00000000-0005-0000-0000-000012000000}"/>
    <cellStyle name="Note" xfId="15" builtinId="10" customBuiltin="1"/>
    <cellStyle name="Output" xfId="10" builtinId="21" customBuiltin="1"/>
    <cellStyle name="Percent" xfId="2" builtinId="5"/>
    <cellStyle name="Percent 2" xfId="28" xr:uid="{00000000-0005-0000-0000-000016000000}"/>
    <cellStyle name="Regular Table Text" xfId="21" xr:uid="{00000000-0005-0000-0000-000017000000}"/>
    <cellStyle name="Title" xfId="3" builtinId="15" customBuiltin="1"/>
    <cellStyle name="Total" xfId="17" builtinId="25" customBuiltin="1"/>
    <cellStyle name="Total Row" xfId="22" xr:uid="{00000000-0005-0000-0000-00001A000000}"/>
    <cellStyle name="Total row gray" xfId="23" xr:uid="{00000000-0005-0000-0000-00001B000000}"/>
    <cellStyle name="Warning Text" xfId="14" builtinId="11"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patternType="none">
          <bgColor auto="1"/>
        </patternFill>
      </fill>
      <border diagonalUp="0" diagonalDown="0">
        <left/>
        <right/>
        <top/>
        <bottom/>
        <vertical/>
        <horizontal/>
      </border>
    </dxf>
    <dxf>
      <font>
        <b/>
        <i val="0"/>
        <color theme="1"/>
      </font>
    </dxf>
    <dxf>
      <font>
        <b/>
        <i val="0"/>
        <color theme="1"/>
      </font>
      <border diagonalUp="0" diagonalDown="0">
        <left/>
        <right/>
        <top/>
        <bottom/>
        <vertical/>
        <horizontal/>
      </border>
    </dxf>
    <dxf>
      <font>
        <b/>
        <i val="0"/>
        <color theme="1"/>
      </font>
      <border>
        <left/>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horizontal style="thin">
          <color theme="1"/>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style="thin">
          <color theme="0"/>
        </vertical>
        <horizontal/>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horizontal/>
      </border>
    </dxf>
    <dxf>
      <font>
        <b/>
        <i val="0"/>
        <color theme="0"/>
      </font>
      <fill>
        <patternFill>
          <bgColor theme="1"/>
        </patternFill>
      </fill>
      <border>
        <left/>
        <right/>
        <top/>
        <bottom/>
        <vertical style="thin">
          <color theme="0"/>
        </vertical>
        <horizontal style="thin">
          <color theme="0"/>
        </horizontal>
      </border>
    </dxf>
    <dxf>
      <border diagonalUp="0" diagonalDown="0">
        <left/>
        <right/>
        <top/>
        <bottom/>
        <vertical/>
        <horizontal/>
      </border>
    </dxf>
    <dxf>
      <fill>
        <patternFill patternType="none">
          <bgColor auto="1"/>
        </patternFill>
      </fill>
      <border diagonalUp="0" diagonalDown="0">
        <left/>
        <right/>
        <top/>
        <bottom/>
        <vertical/>
        <horizontal/>
      </border>
    </dxf>
    <dxf>
      <font>
        <b/>
        <i val="0"/>
        <color theme="1"/>
      </font>
    </dxf>
    <dxf>
      <font>
        <b/>
        <i val="0"/>
        <color theme="1"/>
      </font>
    </dxf>
    <dxf>
      <font>
        <b/>
        <i val="0"/>
        <color theme="1"/>
      </font>
      <border>
        <left style="medium">
          <color theme="1"/>
        </left>
        <right style="medium">
          <color theme="1"/>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style="thin">
          <color theme="0" tint="-0.24994659260841701"/>
        </horizontal>
      </border>
    </dxf>
  </dxfs>
  <tableStyles count="4" defaultTableStyle="Mercer-Banded Rows-No Gridlines" defaultPivotStyle="PivotStyleLight16">
    <tableStyle name="Mercer-All Gridlines" pivot="0" count="6" xr9:uid="{00000000-0011-0000-FFFF-FFFF00000000}">
      <tableStyleElement type="wholeTable" dxfId="47"/>
      <tableStyleElement type="headerRow" dxfId="46"/>
      <tableStyleElement type="totalRow" dxfId="45"/>
      <tableStyleElement type="firstColumn" dxfId="44"/>
      <tableStyleElement type="lastColumn" dxfId="43"/>
      <tableStyleElement type="firstHeaderCell" dxfId="42"/>
    </tableStyle>
    <tableStyle name="Mercer-Banded Rows-No Gridlines" pivot="0" count="7" xr9:uid="{00000000-0011-0000-FFFF-FFFF01000000}">
      <tableStyleElement type="wholeTable" dxfId="41"/>
      <tableStyleElement type="headerRow" dxfId="40"/>
      <tableStyleElement type="totalRow" dxfId="39"/>
      <tableStyleElement type="firstColumn" dxfId="38"/>
      <tableStyleElement type="lastColumn" dxfId="37"/>
      <tableStyleElement type="secondRowStripe" dxfId="36"/>
      <tableStyleElement type="firstHeaderCell" dxfId="35"/>
    </tableStyle>
    <tableStyle name="Mercer-Banded Rows-Vert Gridlines" pivot="0" count="7" xr9:uid="{00000000-0011-0000-FFFF-FFFF02000000}">
      <tableStyleElement type="wholeTable" dxfId="34"/>
      <tableStyleElement type="headerRow" dxfId="33"/>
      <tableStyleElement type="totalRow" dxfId="32"/>
      <tableStyleElement type="firstColumn" dxfId="31"/>
      <tableStyleElement type="lastColumn" dxfId="30"/>
      <tableStyleElement type="secondRowStripe" dxfId="29"/>
      <tableStyleElement type="firstHeaderCell" dxfId="28"/>
    </tableStyle>
    <tableStyle name="Mercer-Horiz Gridlines Only" pivot="0" count="6" xr9:uid="{00000000-0011-0000-FFFF-FFFF03000000}">
      <tableStyleElement type="wholeTable" dxfId="27"/>
      <tableStyleElement type="headerRow" dxfId="26"/>
      <tableStyleElement type="totalRow" dxfId="25"/>
      <tableStyleElement type="firstColumn" dxfId="24"/>
      <tableStyleElement type="lastColumn" dxfId="23"/>
      <tableStyleElement type="firstHeaderCell" dxfId="22"/>
    </tableStyle>
  </tableStyles>
  <colors>
    <mruColors>
      <color rgb="FFFFFFB4"/>
      <color rgb="FFFFFFB7"/>
      <color rgb="FFBCE292"/>
      <color rgb="FF002C77"/>
      <color rgb="FFFFFF99"/>
      <color rgb="FF3BB2D7"/>
      <color rgb="FF1F497D"/>
      <color rgb="FFA6E2EF"/>
      <color rgb="FFA6E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'Exercise #5'!$H$9</c:f>
              <c:strCache>
                <c:ptCount val="1"/>
                <c:pt idx="0">
                  <c:v>Base Salary
($)</c:v>
                </c:pt>
              </c:strCache>
            </c:strRef>
          </c:tx>
          <c:spPr>
            <a:solidFill>
              <a:schemeClr val="accent1"/>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#5'!$H$10:$H$28</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9370-46F7-90F6-A80E470C37E7}"/>
            </c:ext>
          </c:extLst>
        </c:ser>
        <c:ser>
          <c:idx val="2"/>
          <c:order val="1"/>
          <c:tx>
            <c:strRef>
              <c:f>'Exercise #5'!$J$9</c:f>
              <c:strCache>
                <c:ptCount val="1"/>
                <c:pt idx="0">
                  <c:v>Total Cash Compensation (TCC)
($)</c:v>
                </c:pt>
              </c:strCache>
            </c:strRef>
          </c:tx>
          <c:spPr>
            <a:solidFill>
              <a:schemeClr val="accent3"/>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#5'!$J$10:$J$28</c:f>
              <c:numCache>
                <c:formatCode>"$"#,##0</c:formatCode>
                <c:ptCount val="19"/>
              </c:numCache>
            </c:numRef>
          </c:val>
          <c:extLst>
            <c:ext xmlns:c16="http://schemas.microsoft.com/office/drawing/2014/chart" uri="{C3380CC4-5D6E-409C-BE32-E72D297353CC}">
              <c16:uniqueId val="{00000002-9370-46F7-90F6-A80E470C37E7}"/>
            </c:ext>
          </c:extLst>
        </c:ser>
        <c:dLbls>
          <c:showLegendKey val="0"/>
          <c:showVal val="0"/>
          <c:showCatName val="0"/>
          <c:showSerName val="0"/>
          <c:showPercent val="0"/>
          <c:showBubbleSize val="0"/>
        </c:dLbls>
        <c:gapWidth val="219"/>
        <c:axId val="687804736"/>
        <c:axId val="687804080"/>
      </c:barChart>
      <c:catAx>
        <c:axId val="6878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080"/>
        <c:crosses val="autoZero"/>
        <c:auto val="1"/>
        <c:lblAlgn val="ctr"/>
        <c:lblOffset val="100"/>
        <c:noMultiLvlLbl val="0"/>
      </c:catAx>
      <c:valAx>
        <c:axId val="687804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Excel Proficiency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56427027663509"/>
          <c:y val="0.15400089231631547"/>
          <c:w val="0.81421045234758105"/>
          <c:h val="0.8057613448456924"/>
        </c:manualLayout>
      </c:layout>
      <c:barChart>
        <c:barDir val="bar"/>
        <c:grouping val="clustered"/>
        <c:varyColors val="0"/>
        <c:ser>
          <c:idx val="0"/>
          <c:order val="0"/>
          <c:tx>
            <c:strRef>
              <c:f>'Key | Exercise #5'!$G$4</c:f>
              <c:strCache>
                <c:ptCount val="1"/>
                <c:pt idx="0">
                  <c:v>Excel Proficiency 
(#)</c:v>
                </c:pt>
              </c:strCache>
            </c:strRef>
          </c:tx>
          <c:spPr>
            <a:solidFill>
              <a:schemeClr val="accent1"/>
            </a:solidFill>
            <a:ln>
              <a:solidFill>
                <a:schemeClr val="bg1"/>
              </a:solidFill>
            </a:ln>
            <a:effectLst/>
          </c:spPr>
          <c:invertIfNegative val="0"/>
          <c:dLbls>
            <c:dLbl>
              <c:idx val="0"/>
              <c:tx>
                <c:rich>
                  <a:bodyPr/>
                  <a:lstStyle/>
                  <a:p>
                    <a:fld id="{84907454-590C-47D5-ADB6-601C3B259AE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E84-4123-896F-D778E8EEB1E4}"/>
                </c:ext>
              </c:extLst>
            </c:dLbl>
            <c:dLbl>
              <c:idx val="1"/>
              <c:tx>
                <c:rich>
                  <a:bodyPr/>
                  <a:lstStyle/>
                  <a:p>
                    <a:fld id="{434E5EB0-3CD8-4E7A-B7E6-04EB43FB2CD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E84-4123-896F-D778E8EEB1E4}"/>
                </c:ext>
              </c:extLst>
            </c:dLbl>
            <c:dLbl>
              <c:idx val="2"/>
              <c:tx>
                <c:rich>
                  <a:bodyPr/>
                  <a:lstStyle/>
                  <a:p>
                    <a:fld id="{C1651A6D-010E-4E0F-B478-7D3099EC45E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E84-4123-896F-D778E8EEB1E4}"/>
                </c:ext>
              </c:extLst>
            </c:dLbl>
            <c:dLbl>
              <c:idx val="3"/>
              <c:tx>
                <c:rich>
                  <a:bodyPr/>
                  <a:lstStyle/>
                  <a:p>
                    <a:fld id="{484696C5-E6B8-44E5-8B2F-98DB2CE634E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E84-4123-896F-D778E8EEB1E4}"/>
                </c:ext>
              </c:extLst>
            </c:dLbl>
            <c:dLbl>
              <c:idx val="4"/>
              <c:tx>
                <c:rich>
                  <a:bodyPr/>
                  <a:lstStyle/>
                  <a:p>
                    <a:fld id="{6EEF65F4-6ED1-4D0C-B9B1-C57FEA36058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E84-4123-896F-D778E8EEB1E4}"/>
                </c:ext>
              </c:extLst>
            </c:dLbl>
            <c:dLbl>
              <c:idx val="5"/>
              <c:tx>
                <c:rich>
                  <a:bodyPr/>
                  <a:lstStyle/>
                  <a:p>
                    <a:fld id="{14FD9F2E-BD9C-4209-BD93-B0FE899E535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E84-4123-896F-D778E8EEB1E4}"/>
                </c:ext>
              </c:extLst>
            </c:dLbl>
            <c:dLbl>
              <c:idx val="6"/>
              <c:tx>
                <c:rich>
                  <a:bodyPr/>
                  <a:lstStyle/>
                  <a:p>
                    <a:fld id="{064862F7-4241-4179-A641-0BC1330E716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E84-4123-896F-D778E8EEB1E4}"/>
                </c:ext>
              </c:extLst>
            </c:dLbl>
            <c:dLbl>
              <c:idx val="7"/>
              <c:tx>
                <c:rich>
                  <a:bodyPr/>
                  <a:lstStyle/>
                  <a:p>
                    <a:fld id="{5B08F874-CB3C-4696-A237-3AF2DD23215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E84-4123-896F-D778E8EEB1E4}"/>
                </c:ext>
              </c:extLst>
            </c:dLbl>
            <c:dLbl>
              <c:idx val="8"/>
              <c:tx>
                <c:rich>
                  <a:bodyPr/>
                  <a:lstStyle/>
                  <a:p>
                    <a:fld id="{23F6D17B-FF26-460A-93E4-EBBA54C03A5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E84-4123-896F-D778E8EEB1E4}"/>
                </c:ext>
              </c:extLst>
            </c:dLbl>
            <c:dLbl>
              <c:idx val="9"/>
              <c:tx>
                <c:rich>
                  <a:bodyPr/>
                  <a:lstStyle/>
                  <a:p>
                    <a:fld id="{C84850C5-A79B-4563-9394-3F4993FEDB5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E84-4123-896F-D778E8EEB1E4}"/>
                </c:ext>
              </c:extLst>
            </c:dLbl>
            <c:dLbl>
              <c:idx val="10"/>
              <c:tx>
                <c:rich>
                  <a:bodyPr/>
                  <a:lstStyle/>
                  <a:p>
                    <a:fld id="{8C621D61-2647-46BA-8AC4-58352892DCF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E84-4123-896F-D778E8EEB1E4}"/>
                </c:ext>
              </c:extLst>
            </c:dLbl>
            <c:dLbl>
              <c:idx val="11"/>
              <c:tx>
                <c:rich>
                  <a:bodyPr/>
                  <a:lstStyle/>
                  <a:p>
                    <a:fld id="{D36BDFA8-6E59-48D7-99E6-E89C08C53A2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E84-4123-896F-D778E8EEB1E4}"/>
                </c:ext>
              </c:extLst>
            </c:dLbl>
            <c:dLbl>
              <c:idx val="12"/>
              <c:tx>
                <c:rich>
                  <a:bodyPr/>
                  <a:lstStyle/>
                  <a:p>
                    <a:fld id="{0FAFD1D3-9A51-48D8-A5F7-A2FF5619112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E84-4123-896F-D778E8EEB1E4}"/>
                </c:ext>
              </c:extLst>
            </c:dLbl>
            <c:dLbl>
              <c:idx val="13"/>
              <c:tx>
                <c:rich>
                  <a:bodyPr/>
                  <a:lstStyle/>
                  <a:p>
                    <a:fld id="{DD40F248-A3C4-4307-9808-4AE3A86BB5C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E84-4123-896F-D778E8EEB1E4}"/>
                </c:ext>
              </c:extLst>
            </c:dLbl>
            <c:dLbl>
              <c:idx val="14"/>
              <c:tx>
                <c:rich>
                  <a:bodyPr/>
                  <a:lstStyle/>
                  <a:p>
                    <a:fld id="{C519FBAF-4D53-47FD-AB45-D0CBDE6F98B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E84-4123-896F-D778E8EEB1E4}"/>
                </c:ext>
              </c:extLst>
            </c:dLbl>
            <c:dLbl>
              <c:idx val="15"/>
              <c:tx>
                <c:rich>
                  <a:bodyPr/>
                  <a:lstStyle/>
                  <a:p>
                    <a:fld id="{8ADD6624-7340-449B-BEB5-6782ECF9C2F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E84-4123-896F-D778E8EEB1E4}"/>
                </c:ext>
              </c:extLst>
            </c:dLbl>
            <c:dLbl>
              <c:idx val="16"/>
              <c:tx>
                <c:rich>
                  <a:bodyPr/>
                  <a:lstStyle/>
                  <a:p>
                    <a:fld id="{84B94813-26F9-4561-90C0-55618F512A5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E84-4123-896F-D778E8EEB1E4}"/>
                </c:ext>
              </c:extLst>
            </c:dLbl>
            <c:dLbl>
              <c:idx val="17"/>
              <c:tx>
                <c:rich>
                  <a:bodyPr/>
                  <a:lstStyle/>
                  <a:p>
                    <a:fld id="{79C199C6-FC73-4EC7-869B-1C93CD7EFD9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E84-4123-896F-D778E8EEB1E4}"/>
                </c:ext>
              </c:extLst>
            </c:dLbl>
            <c:dLbl>
              <c:idx val="18"/>
              <c:tx>
                <c:rich>
                  <a:bodyPr/>
                  <a:lstStyle/>
                  <a:p>
                    <a:fld id="{995B5FB5-A770-4D6A-AF70-A8B306AD938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E84-4123-896F-D778E8EEB1E4}"/>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#5'!$G$5:$G$23</c:f>
              <c:numCache>
                <c:formatCode>0</c:formatCode>
                <c:ptCount val="19"/>
                <c:pt idx="0">
                  <c:v>3</c:v>
                </c:pt>
                <c:pt idx="1">
                  <c:v>2</c:v>
                </c:pt>
                <c:pt idx="2">
                  <c:v>2</c:v>
                </c:pt>
                <c:pt idx="3">
                  <c:v>3</c:v>
                </c:pt>
                <c:pt idx="4">
                  <c:v>3</c:v>
                </c:pt>
                <c:pt idx="5">
                  <c:v>2</c:v>
                </c:pt>
                <c:pt idx="6">
                  <c:v>4</c:v>
                </c:pt>
                <c:pt idx="7">
                  <c:v>2</c:v>
                </c:pt>
                <c:pt idx="8">
                  <c:v>1</c:v>
                </c:pt>
                <c:pt idx="9">
                  <c:v>2</c:v>
                </c:pt>
                <c:pt idx="10">
                  <c:v>2</c:v>
                </c:pt>
                <c:pt idx="11">
                  <c:v>2</c:v>
                </c:pt>
                <c:pt idx="12">
                  <c:v>3</c:v>
                </c:pt>
                <c:pt idx="13">
                  <c:v>1</c:v>
                </c:pt>
                <c:pt idx="14">
                  <c:v>3</c:v>
                </c:pt>
                <c:pt idx="15">
                  <c:v>2</c:v>
                </c:pt>
                <c:pt idx="16">
                  <c:v>2</c:v>
                </c:pt>
                <c:pt idx="17">
                  <c:v>4</c:v>
                </c:pt>
                <c:pt idx="18">
                  <c:v>4</c:v>
                </c:pt>
              </c:numCache>
            </c:numRef>
          </c:val>
          <c:extLst>
            <c:ext xmlns:c15="http://schemas.microsoft.com/office/drawing/2012/chart" uri="{02D57815-91ED-43cb-92C2-25804820EDAC}">
              <c15:datalabelsRange>
                <c15:f>'Key | Exercise #5'!$F$5:$F$23</c15:f>
                <c15:dlblRangeCache>
                  <c:ptCount val="19"/>
                  <c:pt idx="0">
                    <c:v>Intermediate</c:v>
                  </c:pt>
                  <c:pt idx="1">
                    <c:v>Basic</c:v>
                  </c:pt>
                  <c:pt idx="2">
                    <c:v>Basic</c:v>
                  </c:pt>
                  <c:pt idx="3">
                    <c:v>Intermediate</c:v>
                  </c:pt>
                  <c:pt idx="4">
                    <c:v>Intermediate</c:v>
                  </c:pt>
                  <c:pt idx="5">
                    <c:v>Basic</c:v>
                  </c:pt>
                  <c:pt idx="6">
                    <c:v>Advanced</c:v>
                  </c:pt>
                  <c:pt idx="7">
                    <c:v>Basic</c:v>
                  </c:pt>
                  <c:pt idx="8">
                    <c:v>Minimal</c:v>
                  </c:pt>
                  <c:pt idx="9">
                    <c:v>Basic</c:v>
                  </c:pt>
                  <c:pt idx="10">
                    <c:v>Basic</c:v>
                  </c:pt>
                  <c:pt idx="11">
                    <c:v>Basic</c:v>
                  </c:pt>
                  <c:pt idx="12">
                    <c:v>Intermediate</c:v>
                  </c:pt>
                  <c:pt idx="13">
                    <c:v>Minimal</c:v>
                  </c:pt>
                  <c:pt idx="14">
                    <c:v>Intermediate</c:v>
                  </c:pt>
                  <c:pt idx="15">
                    <c:v>Basic</c:v>
                  </c:pt>
                  <c:pt idx="16">
                    <c:v>Basic</c:v>
                  </c:pt>
                  <c:pt idx="17">
                    <c:v>Advanced</c:v>
                  </c:pt>
                  <c:pt idx="18">
                    <c:v>Advanced</c:v>
                  </c:pt>
                </c15:dlblRangeCache>
              </c15:datalabelsRange>
            </c:ext>
            <c:ext xmlns:c16="http://schemas.microsoft.com/office/drawing/2014/chart" uri="{C3380CC4-5D6E-409C-BE32-E72D297353CC}">
              <c16:uniqueId val="{00000000-DE84-4123-896F-D778E8EEB1E4}"/>
            </c:ext>
          </c:extLst>
        </c:ser>
        <c:dLbls>
          <c:showLegendKey val="0"/>
          <c:showVal val="0"/>
          <c:showCatName val="0"/>
          <c:showSerName val="0"/>
          <c:showPercent val="0"/>
          <c:showBubbleSize val="0"/>
        </c:dLbls>
        <c:gapWidth val="0"/>
        <c:axId val="827422288"/>
        <c:axId val="827422616"/>
      </c:barChart>
      <c:catAx>
        <c:axId val="827422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422616"/>
        <c:crosses val="autoZero"/>
        <c:auto val="1"/>
        <c:lblAlgn val="ctr"/>
        <c:lblOffset val="100"/>
        <c:noMultiLvlLbl val="0"/>
      </c:catAx>
      <c:valAx>
        <c:axId val="827422616"/>
        <c:scaling>
          <c:orientation val="minMax"/>
          <c:max val="4"/>
        </c:scaling>
        <c:delete val="1"/>
        <c:axPos val="t"/>
        <c:numFmt formatCode="0" sourceLinked="1"/>
        <c:majorTickMark val="out"/>
        <c:minorTickMark val="none"/>
        <c:tickLblPos val="nextTo"/>
        <c:crossAx val="827422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Base Salary &amp; Total Cash</a:t>
            </a:r>
            <a:r>
              <a:rPr lang="en-US" baseline="0">
                <a:solidFill>
                  <a:schemeClr val="tx1"/>
                </a:solidFill>
              </a:rPr>
              <a:t> Compensation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802769219065"/>
          <c:y val="0.15520514113254541"/>
          <c:w val="0.7776755296892236"/>
          <c:h val="0.80422317273489763"/>
        </c:manualLayout>
      </c:layout>
      <c:barChart>
        <c:barDir val="bar"/>
        <c:grouping val="clustered"/>
        <c:varyColors val="0"/>
        <c:ser>
          <c:idx val="1"/>
          <c:order val="0"/>
          <c:tx>
            <c:strRef>
              <c:f>'Key | Exercise #5'!$J$4</c:f>
              <c:strCache>
                <c:ptCount val="1"/>
                <c:pt idx="0">
                  <c:v>Total Cash Compensation (TCC)
($)</c:v>
                </c:pt>
              </c:strCache>
            </c:strRef>
          </c:tx>
          <c:spPr>
            <a:solidFill>
              <a:schemeClr val="accent2"/>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#5'!$J$5:$J$23</c:f>
              <c:numCache>
                <c:formatCode>"$"#,##0</c:formatCode>
                <c:ptCount val="19"/>
                <c:pt idx="0">
                  <c:v>76680</c:v>
                </c:pt>
                <c:pt idx="1">
                  <c:v>66420</c:v>
                </c:pt>
                <c:pt idx="2">
                  <c:v>64584</c:v>
                </c:pt>
                <c:pt idx="3">
                  <c:v>74412</c:v>
                </c:pt>
                <c:pt idx="4">
                  <c:v>78030</c:v>
                </c:pt>
                <c:pt idx="5">
                  <c:v>66960</c:v>
                </c:pt>
                <c:pt idx="6">
                  <c:v>85800</c:v>
                </c:pt>
                <c:pt idx="7">
                  <c:v>68040</c:v>
                </c:pt>
                <c:pt idx="8">
                  <c:v>59400</c:v>
                </c:pt>
                <c:pt idx="9">
                  <c:v>67284</c:v>
                </c:pt>
                <c:pt idx="10">
                  <c:v>69012</c:v>
                </c:pt>
                <c:pt idx="11">
                  <c:v>69120</c:v>
                </c:pt>
                <c:pt idx="12">
                  <c:v>72360</c:v>
                </c:pt>
                <c:pt idx="13">
                  <c:v>62208</c:v>
                </c:pt>
                <c:pt idx="14">
                  <c:v>70200</c:v>
                </c:pt>
                <c:pt idx="15">
                  <c:v>63720</c:v>
                </c:pt>
                <c:pt idx="16">
                  <c:v>63720</c:v>
                </c:pt>
                <c:pt idx="17">
                  <c:v>92000</c:v>
                </c:pt>
                <c:pt idx="18">
                  <c:v>84640</c:v>
                </c:pt>
              </c:numCache>
            </c:numRef>
          </c:val>
          <c:extLst>
            <c:ext xmlns:c16="http://schemas.microsoft.com/office/drawing/2014/chart" uri="{C3380CC4-5D6E-409C-BE32-E72D297353CC}">
              <c16:uniqueId val="{00000001-760D-4B31-A740-F427E252AC1D}"/>
            </c:ext>
          </c:extLst>
        </c:ser>
        <c:ser>
          <c:idx val="0"/>
          <c:order val="1"/>
          <c:tx>
            <c:strRef>
              <c:f>'Key | Exercise #5'!$H$4</c:f>
              <c:strCache>
                <c:ptCount val="1"/>
                <c:pt idx="0">
                  <c:v>Base Salary
($)</c:v>
                </c:pt>
              </c:strCache>
            </c:strRef>
          </c:tx>
          <c:spPr>
            <a:solidFill>
              <a:schemeClr val="accent1"/>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#5'!$H$5:$H$23</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760D-4B31-A740-F427E252AC1D}"/>
            </c:ext>
          </c:extLst>
        </c:ser>
        <c:dLbls>
          <c:showLegendKey val="0"/>
          <c:showVal val="0"/>
          <c:showCatName val="0"/>
          <c:showSerName val="0"/>
          <c:showPercent val="0"/>
          <c:showBubbleSize val="0"/>
        </c:dLbls>
        <c:gapWidth val="0"/>
        <c:overlap val="100"/>
        <c:axId val="827370792"/>
        <c:axId val="827378008"/>
      </c:barChart>
      <c:catAx>
        <c:axId val="8273707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8008"/>
        <c:crosses val="autoZero"/>
        <c:auto val="1"/>
        <c:lblAlgn val="ctr"/>
        <c:lblOffset val="100"/>
        <c:noMultiLvlLbl val="0"/>
      </c:catAx>
      <c:valAx>
        <c:axId val="827378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0792"/>
        <c:crosses val="autoZero"/>
        <c:crossBetween val="between"/>
      </c:valAx>
      <c:spPr>
        <a:noFill/>
        <a:ln>
          <a:noFill/>
        </a:ln>
        <a:effectLst/>
      </c:spPr>
    </c:plotArea>
    <c:legend>
      <c:legendPos val="r"/>
      <c:layout>
        <c:manualLayout>
          <c:xMode val="edge"/>
          <c:yMode val="edge"/>
          <c:x val="0.81432736125375638"/>
          <c:y val="0.48764756244612706"/>
          <c:w val="0.16634896724865914"/>
          <c:h val="0.3164521817518604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Formatting!A1"/></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154780</xdr:colOff>
      <xdr:row>6</xdr:row>
      <xdr:rowOff>0</xdr:rowOff>
    </xdr:from>
    <xdr:ext cx="10608470" cy="2682240"/>
    <xdr:sp macro="" textlink="">
      <xdr:nvSpPr>
        <xdr:cNvPr id="2" name="Rectangle 1">
          <a:extLst>
            <a:ext uri="{FF2B5EF4-FFF2-40B4-BE49-F238E27FC236}">
              <a16:creationId xmlns:a16="http://schemas.microsoft.com/office/drawing/2014/main" id="{00000000-0008-0000-0000-000002000000}"/>
            </a:ext>
          </a:extLst>
        </xdr:cNvPr>
        <xdr:cNvSpPr/>
      </xdr:nvSpPr>
      <xdr:spPr>
        <a:xfrm>
          <a:off x="154780" y="716280"/>
          <a:ext cx="10608470" cy="268224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spcAft>
              <a:spcPts val="600"/>
            </a:spcAft>
          </a:pPr>
          <a:r>
            <a:rPr lang="en-US" sz="1100" b="1">
              <a:solidFill>
                <a:schemeClr val="tx1"/>
              </a:solidFill>
              <a:latin typeface="Arial" panose="020B0604020202020204" pitchFamily="34" charset="0"/>
              <a:cs typeface="Arial" panose="020B0604020202020204" pitchFamily="34" charset="0"/>
            </a:rPr>
            <a:t>This exercise is about mastering the keyboard to effortlessly move through</a:t>
          </a:r>
          <a:r>
            <a:rPr lang="en-US" sz="1100" b="1" baseline="0">
              <a:solidFill>
                <a:schemeClr val="tx1"/>
              </a:solidFill>
              <a:latin typeface="Arial" panose="020B0604020202020204" pitchFamily="34" charset="0"/>
              <a:cs typeface="Arial" panose="020B0604020202020204" pitchFamily="34" charset="0"/>
            </a:rPr>
            <a:t> data. </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CTRL key plus arrow keys will either move you to the end of a continuous array of data or to the next array of data (or the end of the sheet)</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Page Down/Up is an accelerated vertical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ALT key plus Page Down/Up is an accelerated horizontal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using the CTRL + arrow keys allows you to precisely select specific arrays of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pressing the SPACEBAR will select the entire row</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while pressing the SPACEBAR will select the entire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and pressing Page Up/Down will navigate you Left/Right (respectively) across worksheets</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a:t>
          </a:r>
          <a:r>
            <a:rPr lang="en-US" sz="1100" b="0" i="0" u="none" strike="noStrike" baseline="0">
              <a:solidFill>
                <a:schemeClr val="tx1"/>
              </a:solidFill>
              <a:effectLst/>
              <a:latin typeface="+mn-lt"/>
              <a:ea typeface="+mn-ea"/>
              <a:cs typeface="+mn-cs"/>
            </a:rPr>
            <a:t> can be used to access the ribbon</a:t>
          </a:r>
          <a:endParaRPr lang="en-US" sz="1100" b="0" i="0" u="none" strike="noStrike">
            <a:solidFill>
              <a:schemeClr val="tx1"/>
            </a:solidFill>
            <a:effectLst/>
            <a:latin typeface="+mn-lt"/>
            <a:ea typeface="+mn-ea"/>
            <a:cs typeface="+mn-cs"/>
          </a:endParaRP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alt,h,d,r | alt,h,d,c</a:t>
          </a:r>
          <a:r>
            <a:rPr lang="en-US" b="0">
              <a:solidFill>
                <a:schemeClr val="tx1"/>
              </a:solidFill>
            </a:rPr>
            <a:t>  can be used to </a:t>
          </a:r>
          <a:r>
            <a:rPr lang="en-US" sz="1100" b="0" i="0" u="none" strike="noStrike">
              <a:solidFill>
                <a:schemeClr val="tx1"/>
              </a:solidFill>
              <a:effectLst/>
              <a:latin typeface="+mn-lt"/>
              <a:ea typeface="+mn-ea"/>
              <a:cs typeface="+mn-cs"/>
            </a:rPr>
            <a:t>Delete row | Delete column </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alt,h,i,r | alt,h,i,c</a:t>
          </a:r>
          <a:r>
            <a:rPr lang="en-US" b="0">
              <a:solidFill>
                <a:schemeClr val="tx1"/>
              </a:solidFill>
            </a:rPr>
            <a:t> </a:t>
          </a:r>
          <a:r>
            <a:rPr lang="en-US" sz="1100" b="0">
              <a:solidFill>
                <a:schemeClr val="tx1"/>
              </a:solidFill>
              <a:effectLst/>
              <a:latin typeface="+mn-lt"/>
              <a:ea typeface="+mn-ea"/>
              <a:cs typeface="+mn-cs"/>
            </a:rPr>
            <a:t>can be used to </a:t>
          </a:r>
          <a:r>
            <a:rPr lang="en-US" sz="1100" b="0" i="0" u="none" strike="noStrike">
              <a:solidFill>
                <a:schemeClr val="tx1"/>
              </a:solidFill>
              <a:effectLst/>
              <a:latin typeface="+mn-lt"/>
              <a:ea typeface="+mn-ea"/>
              <a:cs typeface="+mn-cs"/>
            </a:rPr>
            <a:t>Insert row | Insert column</a:t>
          </a:r>
          <a:endParaRPr lang="en-US" sz="11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254110</xdr:colOff>
      <xdr:row>1</xdr:row>
      <xdr:rowOff>0</xdr:rowOff>
    </xdr:from>
    <xdr:to>
      <xdr:col>30</xdr:col>
      <xdr:colOff>0</xdr:colOff>
      <xdr:row>2</xdr:row>
      <xdr:rowOff>178594</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000-000008000000}"/>
            </a:ext>
          </a:extLst>
        </xdr:cNvPr>
        <xdr:cNvSpPr/>
      </xdr:nvSpPr>
      <xdr:spPr>
        <a:xfrm>
          <a:off x="9636235" y="35719"/>
          <a:ext cx="112701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 to</a:t>
          </a:r>
        </a:p>
        <a:p>
          <a:pPr algn="ctr"/>
          <a:r>
            <a:rPr lang="en-US" sz="1100"/>
            <a:t>Next Section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10</xdr:row>
      <xdr:rowOff>0</xdr:rowOff>
    </xdr:from>
    <xdr:to>
      <xdr:col>2</xdr:col>
      <xdr:colOff>182880</xdr:colOff>
      <xdr:row>10</xdr:row>
      <xdr:rowOff>182880</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238125" y="942975"/>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2</xdr:col>
      <xdr:colOff>0</xdr:colOff>
      <xdr:row>12</xdr:row>
      <xdr:rowOff>0</xdr:rowOff>
    </xdr:from>
    <xdr:to>
      <xdr:col>2</xdr:col>
      <xdr:colOff>182880</xdr:colOff>
      <xdr:row>12</xdr:row>
      <xdr:rowOff>182880</xdr:rowOff>
    </xdr:to>
    <xdr:sp macro="" textlink="">
      <xdr:nvSpPr>
        <xdr:cNvPr id="4" name="Oval 3">
          <a:extLst>
            <a:ext uri="{FF2B5EF4-FFF2-40B4-BE49-F238E27FC236}">
              <a16:creationId xmlns:a16="http://schemas.microsoft.com/office/drawing/2014/main" id="{00000000-0008-0000-0100-000004000000}"/>
            </a:ext>
          </a:extLst>
        </xdr:cNvPr>
        <xdr:cNvSpPr/>
      </xdr:nvSpPr>
      <xdr:spPr>
        <a:xfrm>
          <a:off x="238125" y="1628775"/>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2</xdr:col>
      <xdr:colOff>0</xdr:colOff>
      <xdr:row>14</xdr:row>
      <xdr:rowOff>0</xdr:rowOff>
    </xdr:from>
    <xdr:to>
      <xdr:col>2</xdr:col>
      <xdr:colOff>182880</xdr:colOff>
      <xdr:row>14</xdr:row>
      <xdr:rowOff>182880</xdr:rowOff>
    </xdr:to>
    <xdr:sp macro="" textlink="">
      <xdr:nvSpPr>
        <xdr:cNvPr id="5" name="Oval 4">
          <a:extLst>
            <a:ext uri="{FF2B5EF4-FFF2-40B4-BE49-F238E27FC236}">
              <a16:creationId xmlns:a16="http://schemas.microsoft.com/office/drawing/2014/main" id="{00000000-0008-0000-0100-000005000000}"/>
            </a:ext>
          </a:extLst>
        </xdr:cNvPr>
        <xdr:cNvSpPr/>
      </xdr:nvSpPr>
      <xdr:spPr>
        <a:xfrm>
          <a:off x="234950" y="3333750"/>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19063" y="714375"/>
          <a:ext cx="9346407" cy="1166813"/>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10" name="Rectangle 9">
          <a:extLst>
            <a:ext uri="{FF2B5EF4-FFF2-40B4-BE49-F238E27FC236}">
              <a16:creationId xmlns:a16="http://schemas.microsoft.com/office/drawing/2014/main" id="{00000000-0008-0000-0200-00000A000000}"/>
            </a:ext>
          </a:extLst>
        </xdr:cNvPr>
        <xdr:cNvSpPr/>
      </xdr:nvSpPr>
      <xdr:spPr>
        <a:xfrm>
          <a:off x="114299" y="3438525"/>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0</xdr:col>
      <xdr:colOff>114299</xdr:colOff>
      <xdr:row>49</xdr:row>
      <xdr:rowOff>0</xdr:rowOff>
    </xdr:from>
    <xdr:ext cx="10656093" cy="666750"/>
    <xdr:sp macro="" textlink="">
      <xdr:nvSpPr>
        <xdr:cNvPr id="13" name="Rectangle 12">
          <a:extLst>
            <a:ext uri="{FF2B5EF4-FFF2-40B4-BE49-F238E27FC236}">
              <a16:creationId xmlns:a16="http://schemas.microsoft.com/office/drawing/2014/main" id="{00000000-0008-0000-0200-00000D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4300" y="716280"/>
          <a:ext cx="10637521" cy="117348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3" name="Rectangle 2">
          <a:extLst>
            <a:ext uri="{FF2B5EF4-FFF2-40B4-BE49-F238E27FC236}">
              <a16:creationId xmlns:a16="http://schemas.microsoft.com/office/drawing/2014/main" id="{00000000-0008-0000-0300-000003000000}"/>
            </a:ext>
          </a:extLst>
        </xdr:cNvPr>
        <xdr:cNvSpPr/>
      </xdr:nvSpPr>
      <xdr:spPr>
        <a:xfrm>
          <a:off x="114299" y="3444240"/>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1</xdr:col>
      <xdr:colOff>-1</xdr:colOff>
      <xdr:row>49</xdr:row>
      <xdr:rowOff>0</xdr:rowOff>
    </xdr:from>
    <xdr:ext cx="10656093" cy="666750"/>
    <xdr:sp macro="" textlink="">
      <xdr:nvSpPr>
        <xdr:cNvPr id="4" name="Rectangle 3">
          <a:extLst>
            <a:ext uri="{FF2B5EF4-FFF2-40B4-BE49-F238E27FC236}">
              <a16:creationId xmlns:a16="http://schemas.microsoft.com/office/drawing/2014/main" id="{00000000-0008-0000-0300-000004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500-000002000000}"/>
            </a:ext>
          </a:extLst>
        </xdr:cNvPr>
        <xdr:cNvSpPr/>
      </xdr:nvSpPr>
      <xdr:spPr>
        <a:xfrm>
          <a:off x="119510"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600-000002000000}"/>
            </a:ext>
          </a:extLst>
        </xdr:cNvPr>
        <xdr:cNvSpPr/>
      </xdr:nvSpPr>
      <xdr:spPr>
        <a:xfrm>
          <a:off x="114747"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680357" y="585107"/>
          <a:ext cx="10899322"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6</xdr:row>
      <xdr:rowOff>0</xdr:rowOff>
    </xdr:from>
    <xdr:ext cx="9536906" cy="254557"/>
    <xdr:sp macro="" textlink="">
      <xdr:nvSpPr>
        <xdr:cNvPr id="7" name="Rectangle 6">
          <a:extLst>
            <a:ext uri="{FF2B5EF4-FFF2-40B4-BE49-F238E27FC236}">
              <a16:creationId xmlns:a16="http://schemas.microsoft.com/office/drawing/2014/main" id="{00000000-0008-0000-0800-000007000000}"/>
            </a:ext>
          </a:extLst>
        </xdr:cNvPr>
        <xdr:cNvSpPr/>
      </xdr:nvSpPr>
      <xdr:spPr>
        <a:xfrm>
          <a:off x="476250" y="232833"/>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0</xdr:colOff>
      <xdr:row>1</xdr:row>
      <xdr:rowOff>0</xdr:rowOff>
    </xdr:from>
    <xdr:ext cx="9536906" cy="254557"/>
    <xdr:sp macro="" textlink="">
      <xdr:nvSpPr>
        <xdr:cNvPr id="2" name="Rectangle 1">
          <a:extLst>
            <a:ext uri="{FF2B5EF4-FFF2-40B4-BE49-F238E27FC236}">
              <a16:creationId xmlns:a16="http://schemas.microsoft.com/office/drawing/2014/main" id="{00000000-0008-0000-0900-000002000000}"/>
            </a:ext>
          </a:extLst>
        </xdr:cNvPr>
        <xdr:cNvSpPr/>
      </xdr:nvSpPr>
      <xdr:spPr>
        <a:xfrm>
          <a:off x="476250" y="228600"/>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82336" y="1133928"/>
          <a:ext cx="13652500"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68036</xdr:colOff>
      <xdr:row>7</xdr:row>
      <xdr:rowOff>54428</xdr:rowOff>
    </xdr:from>
    <xdr:to>
      <xdr:col>8</xdr:col>
      <xdr:colOff>1242785</xdr:colOff>
      <xdr:row>10</xdr:row>
      <xdr:rowOff>95250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82336" y="956128"/>
          <a:ext cx="11855449"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11906</xdr:colOff>
      <xdr:row>6</xdr:row>
      <xdr:rowOff>47627</xdr:rowOff>
    </xdr:from>
    <xdr:ext cx="9536906" cy="254557"/>
    <xdr:sp macro="" textlink="">
      <xdr:nvSpPr>
        <xdr:cNvPr id="2" name="Rectangle 1">
          <a:extLst>
            <a:ext uri="{FF2B5EF4-FFF2-40B4-BE49-F238E27FC236}">
              <a16:creationId xmlns:a16="http://schemas.microsoft.com/office/drawing/2014/main" id="{00000000-0008-0000-0C00-000002000000}"/>
            </a:ext>
          </a:extLst>
        </xdr:cNvPr>
        <xdr:cNvSpPr/>
      </xdr:nvSpPr>
      <xdr:spPr>
        <a:xfrm>
          <a:off x="500062" y="83346"/>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twoCellAnchor>
    <xdr:from>
      <xdr:col>23</xdr:col>
      <xdr:colOff>650874</xdr:colOff>
      <xdr:row>39</xdr:row>
      <xdr:rowOff>130174</xdr:rowOff>
    </xdr:from>
    <xdr:to>
      <xdr:col>34</xdr:col>
      <xdr:colOff>50799</xdr:colOff>
      <xdr:row>1048576</xdr:row>
      <xdr:rowOff>3149599</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2</xdr:col>
      <xdr:colOff>11906</xdr:colOff>
      <xdr:row>1</xdr:row>
      <xdr:rowOff>47627</xdr:rowOff>
    </xdr:from>
    <xdr:ext cx="9536906" cy="254557"/>
    <xdr:sp macro="" textlink="">
      <xdr:nvSpPr>
        <xdr:cNvPr id="2" name="Rectangle 1">
          <a:extLst>
            <a:ext uri="{FF2B5EF4-FFF2-40B4-BE49-F238E27FC236}">
              <a16:creationId xmlns:a16="http://schemas.microsoft.com/office/drawing/2014/main" id="{00000000-0008-0000-0D00-000002000000}"/>
            </a:ext>
          </a:extLst>
        </xdr:cNvPr>
        <xdr:cNvSpPr/>
      </xdr:nvSpPr>
      <xdr:spPr>
        <a:xfrm>
          <a:off x="554831" y="85727"/>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12</xdr:col>
      <xdr:colOff>657224</xdr:colOff>
      <xdr:row>3</xdr:row>
      <xdr:rowOff>376236</xdr:rowOff>
    </xdr:from>
    <xdr:to>
      <xdr:col>23</xdr:col>
      <xdr:colOff>9524</xdr:colOff>
      <xdr:row>23</xdr:row>
      <xdr:rowOff>19049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647700</xdr:colOff>
      <xdr:row>3</xdr:row>
      <xdr:rowOff>376237</xdr:rowOff>
    </xdr:from>
    <xdr:to>
      <xdr:col>33</xdr:col>
      <xdr:colOff>647700</xdr:colOff>
      <xdr:row>22</xdr:row>
      <xdr:rowOff>180975</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68036</xdr:colOff>
      <xdr:row>7</xdr:row>
      <xdr:rowOff>54427</xdr:rowOff>
    </xdr:from>
    <xdr:to>
      <xdr:col>8</xdr:col>
      <xdr:colOff>1242785</xdr:colOff>
      <xdr:row>11</xdr:row>
      <xdr:rowOff>190499</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76893" y="966106"/>
          <a:ext cx="12155713" cy="843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0</xdr:colOff>
      <xdr:row>10</xdr:row>
      <xdr:rowOff>14941</xdr:rowOff>
    </xdr:from>
    <xdr:ext cx="7986059" cy="729130"/>
    <xdr:sp macro="" textlink="">
      <xdr:nvSpPr>
        <xdr:cNvPr id="2" name="Rectangle 1">
          <a:extLst>
            <a:ext uri="{FF2B5EF4-FFF2-40B4-BE49-F238E27FC236}">
              <a16:creationId xmlns:a16="http://schemas.microsoft.com/office/drawing/2014/main" id="{00000000-0008-0000-1000-000002000000}"/>
            </a:ext>
          </a:extLst>
        </xdr:cNvPr>
        <xdr:cNvSpPr/>
      </xdr:nvSpPr>
      <xdr:spPr>
        <a:xfrm>
          <a:off x="116541" y="803835"/>
          <a:ext cx="7986059" cy="72913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r>
            <a:rPr lang="en-US" sz="1100" b="1">
              <a:solidFill>
                <a:sysClr val="windowText" lastClr="000000"/>
              </a:solidFill>
              <a:effectLst/>
              <a:latin typeface="+mn-lt"/>
              <a:ea typeface="+mn-ea"/>
              <a:cs typeface="+mn-cs"/>
            </a:rPr>
            <a:t>Using the data from the table in Exercise 6,</a:t>
          </a:r>
          <a:r>
            <a:rPr lang="en-US" sz="1100" b="1" baseline="0">
              <a:solidFill>
                <a:sysClr val="windowText" lastClr="000000"/>
              </a:solidFill>
              <a:effectLst/>
              <a:latin typeface="+mn-lt"/>
              <a:ea typeface="+mn-ea"/>
              <a:cs typeface="+mn-cs"/>
            </a:rPr>
            <a:t> create a table that shows the average pay for men and women at each performance level for a user-selected department. Use databars to try to find trends in the data. Note that the data is saved as the "E6_Census" data table.</a:t>
          </a:r>
          <a:endParaRPr lang="en-US" sz="1100" b="0" baseline="0">
            <a:solidFill>
              <a:sysClr val="windowText" lastClr="000000"/>
            </a:solidFill>
            <a:effectLst/>
            <a:latin typeface="+mn-lt"/>
            <a:ea typeface="+mn-ea"/>
            <a:cs typeface="+mn-cs"/>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1</xdr:col>
      <xdr:colOff>0</xdr:colOff>
      <xdr:row>10</xdr:row>
      <xdr:rowOff>8591</xdr:rowOff>
    </xdr:from>
    <xdr:ext cx="7986059" cy="416781"/>
    <xdr:sp macro="" textlink="">
      <xdr:nvSpPr>
        <xdr:cNvPr id="2" name="Rectangle 1">
          <a:extLst>
            <a:ext uri="{FF2B5EF4-FFF2-40B4-BE49-F238E27FC236}">
              <a16:creationId xmlns:a16="http://schemas.microsoft.com/office/drawing/2014/main" id="{00000000-0008-0000-1100-000002000000}"/>
            </a:ext>
          </a:extLst>
        </xdr:cNvPr>
        <xdr:cNvSpPr/>
      </xdr:nvSpPr>
      <xdr:spPr>
        <a:xfrm>
          <a:off x="112059" y="781797"/>
          <a:ext cx="7986059" cy="41678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Using the data from the table in Exercise 6,</a:t>
          </a:r>
          <a:r>
            <a:rPr lang="en-US" sz="1100" b="1" baseline="0">
              <a:solidFill>
                <a:schemeClr val="tx1"/>
              </a:solidFill>
              <a:latin typeface="Arial" panose="020B0604020202020204" pitchFamily="34" charset="0"/>
              <a:cs typeface="Arial" panose="020B0604020202020204" pitchFamily="34" charset="0"/>
            </a:rPr>
            <a:t> create a table that shows the average pay for men and women at each performance level for a user-selected department. Use databars to try to find trends in the data</a:t>
          </a:r>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1</xdr:col>
      <xdr:colOff>68036</xdr:colOff>
      <xdr:row>7</xdr:row>
      <xdr:rowOff>54428</xdr:rowOff>
    </xdr:from>
    <xdr:to>
      <xdr:col>9</xdr:col>
      <xdr:colOff>1542142</xdr:colOff>
      <xdr:row>10</xdr:row>
      <xdr:rowOff>45357</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94822" y="952499"/>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Conditional Formatting can be useful in scenarios where you want to highlight specific values in a dataset. Common reasons for using it are finding duplicates, emphasizing trends, and calling out outliers in the data.</a:t>
          </a:r>
        </a:p>
      </xdr:txBody>
    </xdr:sp>
    <xdr:clientData/>
  </xdr:twoCellAnchor>
  <xdr:twoCellAnchor>
    <xdr:from>
      <xdr:col>0</xdr:col>
      <xdr:colOff>117931</xdr:colOff>
      <xdr:row>7</xdr:row>
      <xdr:rowOff>99785</xdr:rowOff>
    </xdr:from>
    <xdr:to>
      <xdr:col>1</xdr:col>
      <xdr:colOff>74025</xdr:colOff>
      <xdr:row>8</xdr:row>
      <xdr:rowOff>101236</xdr:rowOff>
    </xdr:to>
    <xdr:sp macro="" textlink="">
      <xdr:nvSpPr>
        <xdr:cNvPr id="3" name="Oval 2">
          <a:extLst>
            <a:ext uri="{FF2B5EF4-FFF2-40B4-BE49-F238E27FC236}">
              <a16:creationId xmlns:a16="http://schemas.microsoft.com/office/drawing/2014/main" id="{00000000-0008-0000-1200-000003000000}"/>
            </a:ext>
          </a:extLst>
        </xdr:cNvPr>
        <xdr:cNvSpPr/>
      </xdr:nvSpPr>
      <xdr:spPr>
        <a:xfrm>
          <a:off x="117931" y="997856"/>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0</xdr:col>
      <xdr:colOff>99788</xdr:colOff>
      <xdr:row>10</xdr:row>
      <xdr:rowOff>9071</xdr:rowOff>
    </xdr:from>
    <xdr:to>
      <xdr:col>1</xdr:col>
      <xdr:colOff>55882</xdr:colOff>
      <xdr:row>11</xdr:row>
      <xdr:rowOff>10522</xdr:rowOff>
    </xdr:to>
    <xdr:sp macro="" textlink="">
      <xdr:nvSpPr>
        <xdr:cNvPr id="4" name="Oval 3">
          <a:extLst>
            <a:ext uri="{FF2B5EF4-FFF2-40B4-BE49-F238E27FC236}">
              <a16:creationId xmlns:a16="http://schemas.microsoft.com/office/drawing/2014/main" id="{00000000-0008-0000-1200-000004000000}"/>
            </a:ext>
          </a:extLst>
        </xdr:cNvPr>
        <xdr:cNvSpPr/>
      </xdr:nvSpPr>
      <xdr:spPr>
        <a:xfrm>
          <a:off x="99788" y="1451428"/>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1</xdr:col>
      <xdr:colOff>63501</xdr:colOff>
      <xdr:row>9</xdr:row>
      <xdr:rowOff>136071</xdr:rowOff>
    </xdr:from>
    <xdr:to>
      <xdr:col>9</xdr:col>
      <xdr:colOff>1537607</xdr:colOff>
      <xdr:row>12</xdr:row>
      <xdr:rowOff>127001</xdr:rowOff>
    </xdr:to>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290287" y="1397000"/>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Data Validation can be used to confirm that the user is inputting appropriate values into a cell. Common reasons for using it are flipping through a set of discrete variables and not going outside of reasonable bounds for specific inputs.</a:t>
          </a:r>
        </a:p>
      </xdr:txBody>
    </xdr:sp>
    <xdr:clientData/>
  </xdr:twoCellAnchor>
</xdr:wsDr>
</file>

<file path=xl/theme/theme1.xml><?xml version="1.0" encoding="utf-8"?>
<a:theme xmlns:a="http://schemas.openxmlformats.org/drawingml/2006/main" name="MER2020.Excel.Theme">
  <a:themeElements>
    <a:clrScheme name="Mercer WTB">
      <a:dk1>
        <a:srgbClr val="003865"/>
      </a:dk1>
      <a:lt1>
        <a:sysClr val="window" lastClr="FFFFFF"/>
      </a:lt1>
      <a:dk2>
        <a:srgbClr val="868D95"/>
      </a:dk2>
      <a:lt2>
        <a:srgbClr val="B9BFC7"/>
      </a:lt2>
      <a:accent1>
        <a:srgbClr val="009DE0"/>
      </a:accent1>
      <a:accent2>
        <a:srgbClr val="00AC41"/>
      </a:accent2>
      <a:accent3>
        <a:srgbClr val="8246AF"/>
      </a:accent3>
      <a:accent4>
        <a:srgbClr val="00968F"/>
      </a:accent4>
      <a:accent5>
        <a:srgbClr val="0077A0"/>
      </a:accent5>
      <a:accent6>
        <a:srgbClr val="EE3D8B"/>
      </a:accent6>
      <a:hlink>
        <a:srgbClr val="003865"/>
      </a:hlink>
      <a:folHlink>
        <a:srgbClr val="009DE0"/>
      </a:folHlink>
    </a:clrScheme>
    <a:fontScheme name="GC US Sales Ops Fonts">
      <a:majorFont>
        <a:latin typeface="Times New Roman"/>
        <a:ea typeface=""/>
        <a:cs typeface=""/>
      </a:majorFont>
      <a:minorFont>
        <a:latin typeface="Arial"/>
        <a:ea typeface=""/>
        <a:cs typeface=""/>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tabColor theme="1" tint="0.749992370372631"/>
  </sheetPr>
  <dimension ref="A1:BJ149"/>
  <sheetViews>
    <sheetView showGridLines="0" zoomScaleNormal="100" workbookViewId="0">
      <pane ySplit="4" topLeftCell="A12" activePane="bottomLeft" state="frozen"/>
      <selection pane="bottomLeft" activeCell="J29" sqref="J29"/>
    </sheetView>
  </sheetViews>
  <sheetFormatPr defaultColWidth="0" defaultRowHeight="12.6" customHeight="1" zeroHeight="1"/>
  <cols>
    <col min="1" max="1" width="2.1875" style="23" customWidth="1"/>
    <col min="2" max="6" width="9" style="23" customWidth="1"/>
    <col min="7" max="7" width="1.625" style="23" customWidth="1"/>
    <col min="8" max="12" width="9" style="23" customWidth="1"/>
    <col min="13" max="13" width="1.625" style="23" customWidth="1"/>
    <col min="14" max="18" width="9" style="23" customWidth="1"/>
    <col min="19" max="19" width="1.625" style="23" customWidth="1"/>
    <col min="20" max="24" width="9" style="23" customWidth="1"/>
    <col min="25" max="25" width="1.625" style="23" customWidth="1"/>
    <col min="26" max="30" width="9" style="23" customWidth="1"/>
    <col min="31" max="31" width="1.625" style="23" customWidth="1"/>
    <col min="32" max="62" width="0" style="23" hidden="1" customWidth="1"/>
    <col min="63" max="16384" width="8" style="23" hidden="1"/>
  </cols>
  <sheetData>
    <row r="1" spans="2:30" customFormat="1" ht="3" customHeight="1"/>
    <row r="2" spans="2:30" customFormat="1" ht="23.25">
      <c r="B2" s="79" t="s">
        <v>234</v>
      </c>
    </row>
    <row r="3" spans="2:30" customFormat="1" ht="23.25">
      <c r="B3" s="80" t="s">
        <v>237</v>
      </c>
    </row>
    <row r="4" spans="2:30" customFormat="1" ht="3" customHeight="1"/>
    <row r="5" spans="2:30" customFormat="1" ht="0.95" customHeight="1">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row>
    <row r="6" spans="2:30" customFormat="1" ht="3" customHeight="1"/>
    <row r="7" spans="2:30" ht="3" customHeight="1"/>
    <row r="8" spans="2:30" ht="12.75"/>
    <row r="9" spans="2:30" ht="12.75"/>
    <row r="10" spans="2:30" ht="12.75"/>
    <row r="11" spans="2:30" ht="12.75"/>
    <row r="12" spans="2:30" ht="12.75"/>
    <row r="13" spans="2:30" ht="12.75"/>
    <row r="14" spans="2:30" ht="12.75"/>
    <row r="15" spans="2:30" ht="12.75"/>
    <row r="16" spans="2:30" ht="12.75"/>
    <row r="17" spans="2:31" ht="12.75"/>
    <row r="18" spans="2:31" ht="12.75"/>
    <row r="19" spans="2:31" ht="12.75"/>
    <row r="20" spans="2:31" ht="12.75"/>
    <row r="21" spans="2:31" ht="12.75"/>
    <row r="22" spans="2:31" ht="12.75"/>
    <row r="23" spans="2:31" ht="12.75"/>
    <row r="24" spans="2:31" ht="3" customHeight="1"/>
    <row r="25" spans="2:31" ht="12.75">
      <c r="B25" s="24" t="s">
        <v>68</v>
      </c>
      <c r="C25" s="24" t="s">
        <v>69</v>
      </c>
      <c r="D25" s="24" t="s">
        <v>70</v>
      </c>
      <c r="E25" s="24" t="s">
        <v>71</v>
      </c>
      <c r="F25" s="24" t="s">
        <v>72</v>
      </c>
      <c r="G25" s="24"/>
      <c r="H25" s="24" t="s">
        <v>69</v>
      </c>
      <c r="I25" s="24" t="s">
        <v>72</v>
      </c>
      <c r="J25" s="24" t="s">
        <v>71</v>
      </c>
      <c r="K25" s="24" t="s">
        <v>69</v>
      </c>
      <c r="L25" s="24" t="s">
        <v>68</v>
      </c>
      <c r="M25" s="24"/>
      <c r="N25" s="24" t="s">
        <v>119</v>
      </c>
      <c r="O25" s="24" t="s">
        <v>122</v>
      </c>
      <c r="P25" s="24" t="s">
        <v>121</v>
      </c>
      <c r="Q25" s="24" t="s">
        <v>119</v>
      </c>
      <c r="R25" s="24" t="s">
        <v>118</v>
      </c>
      <c r="S25" s="24"/>
      <c r="T25" s="24" t="s">
        <v>144</v>
      </c>
      <c r="U25" s="24" t="s">
        <v>146</v>
      </c>
      <c r="V25" s="24" t="s">
        <v>147</v>
      </c>
      <c r="W25" s="24" t="s">
        <v>144</v>
      </c>
      <c r="X25" s="24" t="s">
        <v>94</v>
      </c>
      <c r="Y25" s="24"/>
      <c r="Z25" s="24" t="s">
        <v>68</v>
      </c>
      <c r="AA25" s="24" t="s">
        <v>69</v>
      </c>
      <c r="AB25" s="24" t="s">
        <v>70</v>
      </c>
      <c r="AC25" s="24" t="s">
        <v>71</v>
      </c>
      <c r="AD25" s="24" t="s">
        <v>72</v>
      </c>
      <c r="AE25" s="24"/>
    </row>
    <row r="26" spans="2:31" ht="12.75">
      <c r="B26" s="24" t="s">
        <v>73</v>
      </c>
      <c r="C26" s="24" t="s">
        <v>74</v>
      </c>
      <c r="D26" s="24" t="s">
        <v>75</v>
      </c>
      <c r="E26" s="24" t="s">
        <v>76</v>
      </c>
      <c r="F26" s="24" t="s">
        <v>77</v>
      </c>
      <c r="G26" s="24"/>
      <c r="H26" s="24" t="s">
        <v>74</v>
      </c>
      <c r="I26" s="24" t="s">
        <v>77</v>
      </c>
      <c r="J26" s="24" t="s">
        <v>76</v>
      </c>
      <c r="K26" s="24" t="s">
        <v>74</v>
      </c>
      <c r="L26" s="24" t="s">
        <v>73</v>
      </c>
      <c r="M26" s="24"/>
      <c r="N26" s="24" t="s">
        <v>124</v>
      </c>
      <c r="O26" s="24" t="s">
        <v>127</v>
      </c>
      <c r="P26" s="24" t="s">
        <v>126</v>
      </c>
      <c r="Q26" s="24" t="s">
        <v>124</v>
      </c>
      <c r="R26" s="24" t="s">
        <v>123</v>
      </c>
      <c r="S26" s="24"/>
      <c r="T26" s="24" t="s">
        <v>149</v>
      </c>
      <c r="U26" s="24" t="s">
        <v>151</v>
      </c>
      <c r="V26" s="24" t="s">
        <v>152</v>
      </c>
      <c r="W26" s="24" t="s">
        <v>149</v>
      </c>
      <c r="X26" s="24" t="s">
        <v>99</v>
      </c>
      <c r="Y26" s="24"/>
      <c r="Z26" s="24" t="s">
        <v>73</v>
      </c>
      <c r="AA26" s="24" t="s">
        <v>74</v>
      </c>
      <c r="AB26" s="24" t="s">
        <v>75</v>
      </c>
      <c r="AC26" s="24" t="s">
        <v>76</v>
      </c>
      <c r="AD26" s="24" t="s">
        <v>77</v>
      </c>
      <c r="AE26" s="24"/>
    </row>
    <row r="27" spans="2:31" ht="12.75">
      <c r="B27" s="24" t="s">
        <v>78</v>
      </c>
      <c r="C27" s="24" t="s">
        <v>79</v>
      </c>
      <c r="D27" s="24" t="s">
        <v>80</v>
      </c>
      <c r="E27" s="24" t="s">
        <v>81</v>
      </c>
      <c r="F27" s="24" t="s">
        <v>82</v>
      </c>
      <c r="G27" s="24"/>
      <c r="H27" s="24" t="s">
        <v>79</v>
      </c>
      <c r="I27" s="24" t="s">
        <v>82</v>
      </c>
      <c r="J27" s="24" t="s">
        <v>81</v>
      </c>
      <c r="K27" s="24" t="s">
        <v>79</v>
      </c>
      <c r="L27" s="24" t="s">
        <v>78</v>
      </c>
      <c r="M27" s="24"/>
      <c r="N27" s="24" t="s">
        <v>129</v>
      </c>
      <c r="O27" s="24" t="s">
        <v>132</v>
      </c>
      <c r="P27" s="24" t="s">
        <v>131</v>
      </c>
      <c r="Q27" s="24" t="s">
        <v>129</v>
      </c>
      <c r="R27" s="24" t="s">
        <v>128</v>
      </c>
      <c r="S27" s="24"/>
      <c r="T27" s="24" t="s">
        <v>154</v>
      </c>
      <c r="U27" s="24" t="s">
        <v>156</v>
      </c>
      <c r="V27" s="24" t="s">
        <v>157</v>
      </c>
      <c r="W27" s="24" t="s">
        <v>154</v>
      </c>
      <c r="X27" s="24" t="s">
        <v>104</v>
      </c>
      <c r="Y27" s="24"/>
      <c r="Z27" s="24" t="s">
        <v>78</v>
      </c>
      <c r="AA27" s="24" t="s">
        <v>79</v>
      </c>
      <c r="AB27" s="24" t="s">
        <v>80</v>
      </c>
      <c r="AC27" s="24" t="s">
        <v>81</v>
      </c>
      <c r="AD27" s="24" t="s">
        <v>82</v>
      </c>
      <c r="AE27" s="24"/>
    </row>
    <row r="28" spans="2:31" ht="12.75">
      <c r="B28" s="24" t="s">
        <v>83</v>
      </c>
      <c r="C28" s="24" t="s">
        <v>84</v>
      </c>
      <c r="D28" s="24" t="s">
        <v>85</v>
      </c>
      <c r="E28" s="24" t="s">
        <v>86</v>
      </c>
      <c r="F28" s="24" t="s">
        <v>87</v>
      </c>
      <c r="G28" s="24"/>
      <c r="H28" s="24" t="s">
        <v>84</v>
      </c>
      <c r="I28" s="24" t="s">
        <v>87</v>
      </c>
      <c r="J28" s="24" t="s">
        <v>86</v>
      </c>
      <c r="K28" s="24" t="s">
        <v>84</v>
      </c>
      <c r="L28" s="24" t="s">
        <v>83</v>
      </c>
      <c r="M28" s="24"/>
      <c r="N28" s="24" t="s">
        <v>134</v>
      </c>
      <c r="O28" s="24" t="s">
        <v>137</v>
      </c>
      <c r="P28" s="24" t="s">
        <v>136</v>
      </c>
      <c r="Q28" s="24" t="s">
        <v>134</v>
      </c>
      <c r="R28" s="24" t="s">
        <v>133</v>
      </c>
      <c r="S28" s="24"/>
      <c r="T28" s="24" t="s">
        <v>159</v>
      </c>
      <c r="U28" s="24" t="s">
        <v>161</v>
      </c>
      <c r="V28" s="24" t="s">
        <v>162</v>
      </c>
      <c r="W28" s="24" t="s">
        <v>159</v>
      </c>
      <c r="X28" s="24" t="s">
        <v>109</v>
      </c>
      <c r="Y28" s="24"/>
      <c r="Z28" s="24" t="s">
        <v>83</v>
      </c>
      <c r="AA28" s="24" t="s">
        <v>84</v>
      </c>
      <c r="AB28" s="24" t="s">
        <v>85</v>
      </c>
      <c r="AC28" s="24" t="s">
        <v>86</v>
      </c>
      <c r="AD28" s="24" t="s">
        <v>87</v>
      </c>
      <c r="AE28" s="24"/>
    </row>
    <row r="29" spans="2:31" ht="12.75">
      <c r="B29" s="24" t="s">
        <v>88</v>
      </c>
      <c r="C29" s="24" t="s">
        <v>89</v>
      </c>
      <c r="D29" s="24" t="s">
        <v>90</v>
      </c>
      <c r="E29" s="24" t="s">
        <v>91</v>
      </c>
      <c r="F29" s="24" t="s">
        <v>92</v>
      </c>
      <c r="G29" s="24"/>
      <c r="H29" s="24" t="s">
        <v>89</v>
      </c>
      <c r="I29" s="24" t="s">
        <v>92</v>
      </c>
      <c r="J29" s="24" t="s">
        <v>91</v>
      </c>
      <c r="K29" s="24" t="s">
        <v>89</v>
      </c>
      <c r="L29" s="24" t="s">
        <v>88</v>
      </c>
      <c r="M29" s="24"/>
      <c r="N29" s="24" t="s">
        <v>139</v>
      </c>
      <c r="O29" s="24" t="s">
        <v>142</v>
      </c>
      <c r="P29" s="24" t="s">
        <v>141</v>
      </c>
      <c r="Q29" s="24" t="s">
        <v>139</v>
      </c>
      <c r="R29" s="24" t="s">
        <v>138</v>
      </c>
      <c r="S29" s="24"/>
      <c r="T29" s="24" t="s">
        <v>164</v>
      </c>
      <c r="U29" s="24" t="s">
        <v>166</v>
      </c>
      <c r="V29" s="24" t="s">
        <v>167</v>
      </c>
      <c r="W29" s="24" t="s">
        <v>164</v>
      </c>
      <c r="X29" s="24" t="s">
        <v>114</v>
      </c>
      <c r="Y29" s="24"/>
      <c r="Z29" s="24" t="s">
        <v>88</v>
      </c>
      <c r="AA29" s="24" t="s">
        <v>89</v>
      </c>
      <c r="AB29" s="24" t="s">
        <v>90</v>
      </c>
      <c r="AC29" s="24" t="s">
        <v>91</v>
      </c>
      <c r="AD29" s="24" t="s">
        <v>92</v>
      </c>
      <c r="AE29" s="24"/>
    </row>
    <row r="30" spans="2:31" ht="12.75">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row>
    <row r="31" spans="2:31" ht="12.75">
      <c r="B31" s="24" t="s">
        <v>93</v>
      </c>
      <c r="C31" s="24" t="s">
        <v>94</v>
      </c>
      <c r="D31" s="24" t="s">
        <v>95</v>
      </c>
      <c r="E31" s="24" t="s">
        <v>96</v>
      </c>
      <c r="F31" s="24" t="s">
        <v>97</v>
      </c>
      <c r="G31" s="24"/>
      <c r="H31" s="24" t="s">
        <v>94</v>
      </c>
      <c r="I31" s="24" t="s">
        <v>97</v>
      </c>
      <c r="J31" s="24" t="s">
        <v>96</v>
      </c>
      <c r="K31" s="24" t="s">
        <v>94</v>
      </c>
      <c r="L31" s="24" t="s">
        <v>93</v>
      </c>
      <c r="M31" s="24"/>
      <c r="N31" s="24" t="s">
        <v>144</v>
      </c>
      <c r="O31" s="24" t="s">
        <v>147</v>
      </c>
      <c r="P31" s="24" t="s">
        <v>146</v>
      </c>
      <c r="Q31" s="24" t="s">
        <v>144</v>
      </c>
      <c r="R31" s="24" t="s">
        <v>143</v>
      </c>
      <c r="S31" s="24"/>
      <c r="T31" s="24" t="s">
        <v>69</v>
      </c>
      <c r="U31" s="24" t="s">
        <v>72</v>
      </c>
      <c r="V31" s="24" t="s">
        <v>71</v>
      </c>
      <c r="W31" s="24" t="s">
        <v>69</v>
      </c>
      <c r="X31" s="24" t="s">
        <v>68</v>
      </c>
      <c r="Y31" s="24"/>
      <c r="Z31" s="24" t="s">
        <v>93</v>
      </c>
      <c r="AA31" s="24" t="s">
        <v>94</v>
      </c>
      <c r="AB31" s="24" t="s">
        <v>95</v>
      </c>
      <c r="AC31" s="24" t="s">
        <v>96</v>
      </c>
      <c r="AD31" s="24" t="s">
        <v>97</v>
      </c>
      <c r="AE31" s="24"/>
    </row>
    <row r="32" spans="2:31" ht="12.75">
      <c r="B32" s="24" t="s">
        <v>98</v>
      </c>
      <c r="C32" s="24" t="s">
        <v>99</v>
      </c>
      <c r="D32" s="24" t="s">
        <v>100</v>
      </c>
      <c r="E32" s="24" t="s">
        <v>101</v>
      </c>
      <c r="F32" s="24" t="s">
        <v>102</v>
      </c>
      <c r="G32" s="24"/>
      <c r="H32" s="24" t="s">
        <v>99</v>
      </c>
      <c r="I32" s="24" t="s">
        <v>102</v>
      </c>
      <c r="J32" s="24" t="s">
        <v>101</v>
      </c>
      <c r="K32" s="24" t="s">
        <v>99</v>
      </c>
      <c r="L32" s="24" t="s">
        <v>98</v>
      </c>
      <c r="M32" s="24"/>
      <c r="N32" s="24" t="s">
        <v>149</v>
      </c>
      <c r="O32" s="24" t="s">
        <v>152</v>
      </c>
      <c r="P32" s="24" t="s">
        <v>151</v>
      </c>
      <c r="Q32" s="24" t="s">
        <v>149</v>
      </c>
      <c r="R32" s="24" t="s">
        <v>148</v>
      </c>
      <c r="S32" s="24"/>
      <c r="T32" s="24" t="s">
        <v>74</v>
      </c>
      <c r="U32" s="24" t="s">
        <v>77</v>
      </c>
      <c r="V32" s="24" t="s">
        <v>76</v>
      </c>
      <c r="W32" s="24" t="s">
        <v>74</v>
      </c>
      <c r="X32" s="24" t="s">
        <v>73</v>
      </c>
      <c r="Y32" s="24"/>
      <c r="Z32" s="24" t="s">
        <v>98</v>
      </c>
      <c r="AA32" s="24" t="s">
        <v>99</v>
      </c>
      <c r="AB32" s="24" t="s">
        <v>100</v>
      </c>
      <c r="AC32" s="24" t="s">
        <v>101</v>
      </c>
      <c r="AD32" s="24" t="s">
        <v>102</v>
      </c>
      <c r="AE32" s="24"/>
    </row>
    <row r="33" spans="2:31" ht="12.75">
      <c r="B33" s="24" t="s">
        <v>103</v>
      </c>
      <c r="C33" s="24" t="s">
        <v>104</v>
      </c>
      <c r="D33" s="24" t="s">
        <v>105</v>
      </c>
      <c r="E33" s="24" t="s">
        <v>106</v>
      </c>
      <c r="F33" s="24" t="s">
        <v>107</v>
      </c>
      <c r="G33" s="24"/>
      <c r="H33" s="24" t="s">
        <v>104</v>
      </c>
      <c r="I33" s="24" t="s">
        <v>107</v>
      </c>
      <c r="J33" s="24" t="s">
        <v>106</v>
      </c>
      <c r="K33" s="24" t="s">
        <v>104</v>
      </c>
      <c r="L33" s="24" t="s">
        <v>103</v>
      </c>
      <c r="M33" s="24"/>
      <c r="N33" s="24" t="s">
        <v>154</v>
      </c>
      <c r="O33" s="24" t="s">
        <v>157</v>
      </c>
      <c r="P33" s="24" t="s">
        <v>156</v>
      </c>
      <c r="Q33" s="24" t="s">
        <v>154</v>
      </c>
      <c r="R33" s="24" t="s">
        <v>153</v>
      </c>
      <c r="S33" s="24"/>
      <c r="T33" s="24" t="s">
        <v>79</v>
      </c>
      <c r="U33" s="24" t="s">
        <v>82</v>
      </c>
      <c r="V33" s="24" t="s">
        <v>81</v>
      </c>
      <c r="W33" s="24" t="s">
        <v>79</v>
      </c>
      <c r="X33" s="24" t="s">
        <v>78</v>
      </c>
      <c r="Y33" s="24"/>
      <c r="Z33" s="24" t="s">
        <v>103</v>
      </c>
      <c r="AA33" s="24" t="s">
        <v>104</v>
      </c>
      <c r="AB33" s="24" t="s">
        <v>105</v>
      </c>
      <c r="AC33" s="24" t="s">
        <v>106</v>
      </c>
      <c r="AD33" s="24" t="s">
        <v>107</v>
      </c>
      <c r="AE33" s="24"/>
    </row>
    <row r="34" spans="2:31" ht="12.75">
      <c r="B34" s="24" t="s">
        <v>108</v>
      </c>
      <c r="C34" s="24" t="s">
        <v>109</v>
      </c>
      <c r="D34" s="24" t="s">
        <v>110</v>
      </c>
      <c r="E34" s="24" t="s">
        <v>111</v>
      </c>
      <c r="F34" s="24" t="s">
        <v>112</v>
      </c>
      <c r="G34" s="24"/>
      <c r="H34" s="24" t="s">
        <v>109</v>
      </c>
      <c r="I34" s="24" t="s">
        <v>112</v>
      </c>
      <c r="J34" s="24" t="s">
        <v>111</v>
      </c>
      <c r="K34" s="24" t="s">
        <v>109</v>
      </c>
      <c r="L34" s="24" t="s">
        <v>108</v>
      </c>
      <c r="M34" s="24"/>
      <c r="N34" s="24" t="s">
        <v>159</v>
      </c>
      <c r="O34" s="24" t="s">
        <v>162</v>
      </c>
      <c r="P34" s="24" t="s">
        <v>161</v>
      </c>
      <c r="Q34" s="24" t="s">
        <v>159</v>
      </c>
      <c r="R34" s="24" t="s">
        <v>158</v>
      </c>
      <c r="S34" s="24"/>
      <c r="T34" s="24" t="s">
        <v>84</v>
      </c>
      <c r="U34" s="24" t="s">
        <v>87</v>
      </c>
      <c r="V34" s="24" t="s">
        <v>86</v>
      </c>
      <c r="W34" s="24" t="s">
        <v>84</v>
      </c>
      <c r="X34" s="24" t="s">
        <v>83</v>
      </c>
      <c r="Y34" s="24"/>
      <c r="Z34" s="24" t="s">
        <v>108</v>
      </c>
      <c r="AA34" s="24" t="s">
        <v>109</v>
      </c>
      <c r="AB34" s="24" t="s">
        <v>110</v>
      </c>
      <c r="AC34" s="24" t="s">
        <v>111</v>
      </c>
      <c r="AD34" s="24" t="s">
        <v>112</v>
      </c>
      <c r="AE34" s="24"/>
    </row>
    <row r="35" spans="2:31" ht="12.75">
      <c r="B35" s="24" t="s">
        <v>113</v>
      </c>
      <c r="C35" s="24" t="s">
        <v>114</v>
      </c>
      <c r="D35" s="24" t="s">
        <v>115</v>
      </c>
      <c r="E35" s="24" t="s">
        <v>116</v>
      </c>
      <c r="F35" s="24" t="s">
        <v>117</v>
      </c>
      <c r="G35" s="24"/>
      <c r="H35" s="24" t="s">
        <v>114</v>
      </c>
      <c r="I35" s="24" t="s">
        <v>117</v>
      </c>
      <c r="J35" s="24" t="s">
        <v>116</v>
      </c>
      <c r="K35" s="24" t="s">
        <v>114</v>
      </c>
      <c r="L35" s="24" t="s">
        <v>113</v>
      </c>
      <c r="M35" s="24"/>
      <c r="N35" s="24" t="s">
        <v>164</v>
      </c>
      <c r="O35" s="24" t="s">
        <v>167</v>
      </c>
      <c r="P35" s="24" t="s">
        <v>166</v>
      </c>
      <c r="Q35" s="24" t="s">
        <v>164</v>
      </c>
      <c r="R35" s="24" t="s">
        <v>163</v>
      </c>
      <c r="S35" s="24"/>
      <c r="T35" s="24" t="s">
        <v>89</v>
      </c>
      <c r="U35" s="24" t="s">
        <v>92</v>
      </c>
      <c r="V35" s="24" t="s">
        <v>91</v>
      </c>
      <c r="W35" s="24" t="s">
        <v>89</v>
      </c>
      <c r="X35" s="24" t="s">
        <v>88</v>
      </c>
      <c r="Y35" s="24"/>
      <c r="Z35" s="24" t="s">
        <v>113</v>
      </c>
      <c r="AA35" s="24" t="s">
        <v>114</v>
      </c>
      <c r="AB35" s="24" t="s">
        <v>115</v>
      </c>
      <c r="AC35" s="24" t="s">
        <v>116</v>
      </c>
      <c r="AD35" s="24" t="s">
        <v>117</v>
      </c>
      <c r="AE35" s="24"/>
    </row>
    <row r="36" spans="2:31" ht="12.75">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row>
    <row r="37" spans="2:31" ht="12.75">
      <c r="B37" s="24" t="s">
        <v>118</v>
      </c>
      <c r="C37" s="24" t="s">
        <v>119</v>
      </c>
      <c r="D37" s="24" t="s">
        <v>120</v>
      </c>
      <c r="E37" s="24" t="s">
        <v>121</v>
      </c>
      <c r="F37" s="24" t="s">
        <v>122</v>
      </c>
      <c r="G37" s="24"/>
      <c r="H37" s="24" t="s">
        <v>119</v>
      </c>
      <c r="I37" s="24" t="s">
        <v>122</v>
      </c>
      <c r="J37" s="24" t="s">
        <v>121</v>
      </c>
      <c r="K37" s="24" t="s">
        <v>119</v>
      </c>
      <c r="L37" s="24" t="s">
        <v>118</v>
      </c>
      <c r="M37" s="24"/>
      <c r="N37" s="24" t="s">
        <v>144</v>
      </c>
      <c r="O37" s="24" t="s">
        <v>146</v>
      </c>
      <c r="P37" s="24" t="s">
        <v>147</v>
      </c>
      <c r="Q37" s="24" t="s">
        <v>144</v>
      </c>
      <c r="R37" s="24" t="s">
        <v>94</v>
      </c>
      <c r="S37" s="24"/>
      <c r="T37" s="24" t="s">
        <v>94</v>
      </c>
      <c r="U37" s="24" t="s">
        <v>97</v>
      </c>
      <c r="V37" s="24" t="s">
        <v>96</v>
      </c>
      <c r="W37" s="24" t="s">
        <v>94</v>
      </c>
      <c r="X37" s="24" t="s">
        <v>93</v>
      </c>
      <c r="Y37" s="24"/>
      <c r="Z37" s="24" t="s">
        <v>118</v>
      </c>
      <c r="AA37" s="24" t="s">
        <v>119</v>
      </c>
      <c r="AB37" s="24" t="s">
        <v>120</v>
      </c>
      <c r="AC37" s="24" t="s">
        <v>121</v>
      </c>
      <c r="AD37" s="24" t="s">
        <v>122</v>
      </c>
      <c r="AE37" s="24"/>
    </row>
    <row r="38" spans="2:31" ht="12.75">
      <c r="B38" s="24" t="s">
        <v>123</v>
      </c>
      <c r="C38" s="24" t="s">
        <v>124</v>
      </c>
      <c r="D38" s="24" t="s">
        <v>125</v>
      </c>
      <c r="E38" s="24" t="s">
        <v>126</v>
      </c>
      <c r="F38" s="24" t="s">
        <v>127</v>
      </c>
      <c r="G38" s="24"/>
      <c r="H38" s="24" t="s">
        <v>124</v>
      </c>
      <c r="I38" s="24" t="s">
        <v>127</v>
      </c>
      <c r="J38" s="24" t="s">
        <v>126</v>
      </c>
      <c r="K38" s="24" t="s">
        <v>124</v>
      </c>
      <c r="L38" s="24" t="s">
        <v>123</v>
      </c>
      <c r="M38" s="24"/>
      <c r="N38" s="24" t="s">
        <v>149</v>
      </c>
      <c r="O38" s="24" t="s">
        <v>151</v>
      </c>
      <c r="P38" s="24" t="s">
        <v>152</v>
      </c>
      <c r="Q38" s="24" t="s">
        <v>149</v>
      </c>
      <c r="R38" s="24" t="s">
        <v>99</v>
      </c>
      <c r="S38" s="24"/>
      <c r="T38" s="24" t="s">
        <v>99</v>
      </c>
      <c r="U38" s="24" t="s">
        <v>102</v>
      </c>
      <c r="V38" s="24" t="s">
        <v>101</v>
      </c>
      <c r="W38" s="24" t="s">
        <v>99</v>
      </c>
      <c r="X38" s="24" t="s">
        <v>98</v>
      </c>
      <c r="Y38" s="24"/>
      <c r="Z38" s="24" t="s">
        <v>123</v>
      </c>
      <c r="AA38" s="24" t="s">
        <v>124</v>
      </c>
      <c r="AB38" s="24" t="s">
        <v>125</v>
      </c>
      <c r="AC38" s="24" t="s">
        <v>126</v>
      </c>
      <c r="AD38" s="24" t="s">
        <v>127</v>
      </c>
      <c r="AE38" s="24"/>
    </row>
    <row r="39" spans="2:31" ht="12.75">
      <c r="B39" s="24" t="s">
        <v>128</v>
      </c>
      <c r="C39" s="24" t="s">
        <v>129</v>
      </c>
      <c r="D39" s="24" t="s">
        <v>130</v>
      </c>
      <c r="E39" s="24" t="s">
        <v>131</v>
      </c>
      <c r="F39" s="24" t="s">
        <v>132</v>
      </c>
      <c r="G39" s="24"/>
      <c r="H39" s="24" t="s">
        <v>129</v>
      </c>
      <c r="I39" s="24" t="s">
        <v>132</v>
      </c>
      <c r="J39" s="24" t="s">
        <v>131</v>
      </c>
      <c r="K39" s="24" t="s">
        <v>129</v>
      </c>
      <c r="L39" s="24" t="s">
        <v>128</v>
      </c>
      <c r="M39" s="24"/>
      <c r="N39" s="24" t="s">
        <v>154</v>
      </c>
      <c r="O39" s="24" t="s">
        <v>156</v>
      </c>
      <c r="P39" s="24" t="s">
        <v>157</v>
      </c>
      <c r="Q39" s="24" t="s">
        <v>154</v>
      </c>
      <c r="R39" s="24" t="s">
        <v>104</v>
      </c>
      <c r="S39" s="24"/>
      <c r="T39" s="24" t="s">
        <v>104</v>
      </c>
      <c r="U39" s="24" t="s">
        <v>107</v>
      </c>
      <c r="V39" s="24" t="s">
        <v>106</v>
      </c>
      <c r="W39" s="24" t="s">
        <v>104</v>
      </c>
      <c r="X39" s="24" t="s">
        <v>103</v>
      </c>
      <c r="Y39" s="24"/>
      <c r="Z39" s="24" t="s">
        <v>128</v>
      </c>
      <c r="AA39" s="24" t="s">
        <v>129</v>
      </c>
      <c r="AB39" s="24" t="s">
        <v>130</v>
      </c>
      <c r="AC39" s="24" t="s">
        <v>131</v>
      </c>
      <c r="AD39" s="24" t="s">
        <v>132</v>
      </c>
      <c r="AE39" s="24"/>
    </row>
    <row r="40" spans="2:31" ht="12.75">
      <c r="B40" s="24" t="s">
        <v>133</v>
      </c>
      <c r="C40" s="24" t="s">
        <v>134</v>
      </c>
      <c r="D40" s="24" t="s">
        <v>135</v>
      </c>
      <c r="E40" s="24" t="s">
        <v>136</v>
      </c>
      <c r="F40" s="24" t="s">
        <v>137</v>
      </c>
      <c r="G40" s="24"/>
      <c r="H40" s="24" t="s">
        <v>134</v>
      </c>
      <c r="I40" s="24" t="s">
        <v>137</v>
      </c>
      <c r="J40" s="24" t="s">
        <v>136</v>
      </c>
      <c r="K40" s="24" t="s">
        <v>134</v>
      </c>
      <c r="L40" s="24" t="s">
        <v>133</v>
      </c>
      <c r="M40" s="24"/>
      <c r="N40" s="24" t="s">
        <v>159</v>
      </c>
      <c r="O40" s="24" t="s">
        <v>161</v>
      </c>
      <c r="P40" s="24" t="s">
        <v>162</v>
      </c>
      <c r="Q40" s="24" t="s">
        <v>159</v>
      </c>
      <c r="R40" s="24" t="s">
        <v>109</v>
      </c>
      <c r="S40" s="24"/>
      <c r="T40" s="24" t="s">
        <v>109</v>
      </c>
      <c r="U40" s="24" t="s">
        <v>112</v>
      </c>
      <c r="V40" s="24" t="s">
        <v>111</v>
      </c>
      <c r="W40" s="24" t="s">
        <v>109</v>
      </c>
      <c r="X40" s="24" t="s">
        <v>108</v>
      </c>
      <c r="Y40" s="24"/>
      <c r="Z40" s="24" t="s">
        <v>133</v>
      </c>
      <c r="AA40" s="24" t="s">
        <v>134</v>
      </c>
      <c r="AB40" s="24" t="s">
        <v>135</v>
      </c>
      <c r="AC40" s="24" t="s">
        <v>136</v>
      </c>
      <c r="AD40" s="24" t="s">
        <v>137</v>
      </c>
      <c r="AE40" s="24"/>
    </row>
    <row r="41" spans="2:31" ht="12.75">
      <c r="B41" s="24" t="s">
        <v>138</v>
      </c>
      <c r="C41" s="24" t="s">
        <v>139</v>
      </c>
      <c r="D41" s="24" t="s">
        <v>140</v>
      </c>
      <c r="E41" s="24" t="s">
        <v>141</v>
      </c>
      <c r="F41" s="24" t="s">
        <v>142</v>
      </c>
      <c r="G41" s="24"/>
      <c r="H41" s="24" t="s">
        <v>139</v>
      </c>
      <c r="I41" s="24" t="s">
        <v>142</v>
      </c>
      <c r="J41" s="24" t="s">
        <v>141</v>
      </c>
      <c r="K41" s="24" t="s">
        <v>139</v>
      </c>
      <c r="L41" s="24" t="s">
        <v>138</v>
      </c>
      <c r="M41" s="24"/>
      <c r="N41" s="24" t="s">
        <v>164</v>
      </c>
      <c r="O41" s="24" t="s">
        <v>166</v>
      </c>
      <c r="P41" s="24" t="s">
        <v>167</v>
      </c>
      <c r="Q41" s="24" t="s">
        <v>164</v>
      </c>
      <c r="R41" s="24" t="s">
        <v>114</v>
      </c>
      <c r="S41" s="24"/>
      <c r="T41" s="24" t="s">
        <v>114</v>
      </c>
      <c r="U41" s="24" t="s">
        <v>117</v>
      </c>
      <c r="V41" s="24" t="s">
        <v>116</v>
      </c>
      <c r="W41" s="24" t="s">
        <v>114</v>
      </c>
      <c r="X41" s="24" t="s">
        <v>113</v>
      </c>
      <c r="Y41" s="24"/>
      <c r="Z41" s="24" t="s">
        <v>138</v>
      </c>
      <c r="AA41" s="24" t="s">
        <v>139</v>
      </c>
      <c r="AB41" s="24" t="s">
        <v>140</v>
      </c>
      <c r="AC41" s="24" t="s">
        <v>141</v>
      </c>
      <c r="AD41" s="24" t="s">
        <v>142</v>
      </c>
      <c r="AE41" s="24"/>
    </row>
    <row r="42" spans="2:31" ht="12.75">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row>
    <row r="43" spans="2:31" ht="12.75">
      <c r="B43" s="24" t="s">
        <v>143</v>
      </c>
      <c r="C43" s="24" t="s">
        <v>144</v>
      </c>
      <c r="D43" s="24" t="s">
        <v>145</v>
      </c>
      <c r="E43" s="24" t="s">
        <v>146</v>
      </c>
      <c r="F43" s="24" t="s">
        <v>147</v>
      </c>
      <c r="G43" s="24"/>
      <c r="H43" s="24" t="s">
        <v>144</v>
      </c>
      <c r="I43" s="24" t="s">
        <v>147</v>
      </c>
      <c r="J43" s="24" t="s">
        <v>146</v>
      </c>
      <c r="K43" s="24" t="s">
        <v>144</v>
      </c>
      <c r="L43" s="24" t="s">
        <v>143</v>
      </c>
      <c r="M43" s="24"/>
      <c r="N43" s="24" t="s">
        <v>69</v>
      </c>
      <c r="O43" s="24" t="s">
        <v>72</v>
      </c>
      <c r="P43" s="24" t="s">
        <v>71</v>
      </c>
      <c r="Q43" s="24" t="s">
        <v>69</v>
      </c>
      <c r="R43" s="24" t="s">
        <v>68</v>
      </c>
      <c r="S43" s="24"/>
      <c r="T43" s="24" t="s">
        <v>119</v>
      </c>
      <c r="U43" s="24" t="s">
        <v>122</v>
      </c>
      <c r="V43" s="24" t="s">
        <v>121</v>
      </c>
      <c r="W43" s="24" t="s">
        <v>119</v>
      </c>
      <c r="X43" s="24" t="s">
        <v>118</v>
      </c>
      <c r="Y43" s="24"/>
      <c r="Z43" s="24" t="s">
        <v>143</v>
      </c>
      <c r="AA43" s="24" t="s">
        <v>144</v>
      </c>
      <c r="AB43" s="24" t="s">
        <v>145</v>
      </c>
      <c r="AC43" s="24" t="s">
        <v>146</v>
      </c>
      <c r="AD43" s="24" t="s">
        <v>147</v>
      </c>
      <c r="AE43" s="24"/>
    </row>
    <row r="44" spans="2:31" ht="12.75">
      <c r="B44" s="24" t="s">
        <v>148</v>
      </c>
      <c r="C44" s="24" t="s">
        <v>149</v>
      </c>
      <c r="D44" s="24" t="s">
        <v>150</v>
      </c>
      <c r="E44" s="24" t="s">
        <v>151</v>
      </c>
      <c r="F44" s="24" t="s">
        <v>152</v>
      </c>
      <c r="G44" s="24"/>
      <c r="H44" s="24" t="s">
        <v>149</v>
      </c>
      <c r="I44" s="24" t="s">
        <v>152</v>
      </c>
      <c r="J44" s="24" t="s">
        <v>151</v>
      </c>
      <c r="K44" s="24" t="s">
        <v>149</v>
      </c>
      <c r="L44" s="24" t="s">
        <v>148</v>
      </c>
      <c r="M44" s="24"/>
      <c r="N44" s="24" t="s">
        <v>74</v>
      </c>
      <c r="O44" s="24" t="s">
        <v>77</v>
      </c>
      <c r="P44" s="24" t="s">
        <v>76</v>
      </c>
      <c r="Q44" s="24" t="s">
        <v>74</v>
      </c>
      <c r="R44" s="24" t="s">
        <v>73</v>
      </c>
      <c r="S44" s="24"/>
      <c r="T44" s="24" t="s">
        <v>124</v>
      </c>
      <c r="U44" s="24" t="s">
        <v>127</v>
      </c>
      <c r="V44" s="24" t="s">
        <v>126</v>
      </c>
      <c r="W44" s="24" t="s">
        <v>124</v>
      </c>
      <c r="X44" s="24" t="s">
        <v>123</v>
      </c>
      <c r="Y44" s="24"/>
      <c r="Z44" s="24" t="s">
        <v>148</v>
      </c>
      <c r="AA44" s="24" t="s">
        <v>149</v>
      </c>
      <c r="AB44" s="24" t="s">
        <v>150</v>
      </c>
      <c r="AC44" s="24" t="s">
        <v>151</v>
      </c>
      <c r="AD44" s="24" t="s">
        <v>152</v>
      </c>
      <c r="AE44" s="24"/>
    </row>
    <row r="45" spans="2:31" ht="12.75">
      <c r="B45" s="24" t="s">
        <v>153</v>
      </c>
      <c r="C45" s="24" t="s">
        <v>154</v>
      </c>
      <c r="D45" s="24" t="s">
        <v>155</v>
      </c>
      <c r="E45" s="24" t="s">
        <v>156</v>
      </c>
      <c r="F45" s="24" t="s">
        <v>157</v>
      </c>
      <c r="G45" s="24"/>
      <c r="H45" s="24" t="s">
        <v>154</v>
      </c>
      <c r="I45" s="24" t="s">
        <v>157</v>
      </c>
      <c r="J45" s="24" t="s">
        <v>156</v>
      </c>
      <c r="K45" s="24" t="s">
        <v>154</v>
      </c>
      <c r="L45" s="24" t="s">
        <v>153</v>
      </c>
      <c r="M45" s="24"/>
      <c r="N45" s="24" t="s">
        <v>79</v>
      </c>
      <c r="O45" s="24" t="s">
        <v>82</v>
      </c>
      <c r="P45" s="24" t="s">
        <v>81</v>
      </c>
      <c r="Q45" s="24" t="s">
        <v>79</v>
      </c>
      <c r="R45" s="24" t="s">
        <v>78</v>
      </c>
      <c r="S45" s="24"/>
      <c r="T45" s="24" t="s">
        <v>129</v>
      </c>
      <c r="U45" s="24" t="s">
        <v>132</v>
      </c>
      <c r="V45" s="24" t="s">
        <v>131</v>
      </c>
      <c r="W45" s="24" t="s">
        <v>129</v>
      </c>
      <c r="X45" s="24" t="s">
        <v>128</v>
      </c>
      <c r="Y45" s="24"/>
      <c r="Z45" s="24" t="s">
        <v>153</v>
      </c>
      <c r="AA45" s="24" t="s">
        <v>154</v>
      </c>
      <c r="AB45" s="24" t="s">
        <v>155</v>
      </c>
      <c r="AC45" s="24" t="s">
        <v>156</v>
      </c>
      <c r="AD45" s="24" t="s">
        <v>157</v>
      </c>
      <c r="AE45" s="24"/>
    </row>
    <row r="46" spans="2:31" ht="12.75">
      <c r="B46" s="24" t="s">
        <v>158</v>
      </c>
      <c r="C46" s="24" t="s">
        <v>159</v>
      </c>
      <c r="D46" s="24" t="s">
        <v>160</v>
      </c>
      <c r="E46" s="24" t="s">
        <v>161</v>
      </c>
      <c r="F46" s="24" t="s">
        <v>162</v>
      </c>
      <c r="G46" s="24"/>
      <c r="H46" s="24" t="s">
        <v>159</v>
      </c>
      <c r="I46" s="24" t="s">
        <v>162</v>
      </c>
      <c r="J46" s="24" t="s">
        <v>161</v>
      </c>
      <c r="K46" s="24" t="s">
        <v>159</v>
      </c>
      <c r="L46" s="24" t="s">
        <v>158</v>
      </c>
      <c r="M46" s="24"/>
      <c r="N46" s="24" t="s">
        <v>84</v>
      </c>
      <c r="O46" s="24" t="s">
        <v>87</v>
      </c>
      <c r="P46" s="24" t="s">
        <v>86</v>
      </c>
      <c r="Q46" s="24" t="s">
        <v>84</v>
      </c>
      <c r="R46" s="24" t="s">
        <v>83</v>
      </c>
      <c r="S46" s="24"/>
      <c r="T46" s="24" t="s">
        <v>134</v>
      </c>
      <c r="U46" s="24" t="s">
        <v>137</v>
      </c>
      <c r="V46" s="24" t="s">
        <v>136</v>
      </c>
      <c r="W46" s="24" t="s">
        <v>134</v>
      </c>
      <c r="X46" s="24" t="s">
        <v>133</v>
      </c>
      <c r="Y46" s="24"/>
      <c r="Z46" s="24" t="s">
        <v>158</v>
      </c>
      <c r="AA46" s="24" t="s">
        <v>159</v>
      </c>
      <c r="AB46" s="24" t="s">
        <v>160</v>
      </c>
      <c r="AC46" s="24" t="s">
        <v>161</v>
      </c>
      <c r="AD46" s="24" t="s">
        <v>162</v>
      </c>
      <c r="AE46" s="24"/>
    </row>
    <row r="47" spans="2:31" ht="12.75">
      <c r="B47" s="24" t="s">
        <v>163</v>
      </c>
      <c r="C47" s="24" t="s">
        <v>164</v>
      </c>
      <c r="D47" s="24" t="s">
        <v>165</v>
      </c>
      <c r="E47" s="24" t="s">
        <v>166</v>
      </c>
      <c r="F47" s="24" t="s">
        <v>167</v>
      </c>
      <c r="G47" s="24"/>
      <c r="H47" s="24" t="s">
        <v>164</v>
      </c>
      <c r="I47" s="24" t="s">
        <v>167</v>
      </c>
      <c r="J47" s="24" t="s">
        <v>166</v>
      </c>
      <c r="K47" s="24" t="s">
        <v>164</v>
      </c>
      <c r="L47" s="24" t="s">
        <v>163</v>
      </c>
      <c r="M47" s="24"/>
      <c r="N47" s="24" t="s">
        <v>89</v>
      </c>
      <c r="O47" s="24" t="s">
        <v>92</v>
      </c>
      <c r="P47" s="24" t="s">
        <v>91</v>
      </c>
      <c r="Q47" s="24" t="s">
        <v>89</v>
      </c>
      <c r="R47" s="24" t="s">
        <v>88</v>
      </c>
      <c r="S47" s="24"/>
      <c r="T47" s="24" t="s">
        <v>139</v>
      </c>
      <c r="U47" s="24" t="s">
        <v>142</v>
      </c>
      <c r="V47" s="24" t="s">
        <v>141</v>
      </c>
      <c r="W47" s="24" t="s">
        <v>139</v>
      </c>
      <c r="X47" s="24" t="s">
        <v>138</v>
      </c>
      <c r="Y47" s="24"/>
      <c r="Z47" s="24" t="s">
        <v>163</v>
      </c>
      <c r="AA47" s="24" t="s">
        <v>164</v>
      </c>
      <c r="AB47" s="24" t="s">
        <v>165</v>
      </c>
      <c r="AC47" s="24" t="s">
        <v>166</v>
      </c>
      <c r="AD47" s="24" t="s">
        <v>167</v>
      </c>
      <c r="AE47" s="24"/>
    </row>
    <row r="48" spans="2:31" ht="12.75">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row>
    <row r="49" spans="2:31" ht="12.75">
      <c r="B49" s="24" t="s">
        <v>94</v>
      </c>
      <c r="C49" s="24" t="s">
        <v>144</v>
      </c>
      <c r="D49" s="24" t="s">
        <v>120</v>
      </c>
      <c r="E49" s="24" t="s">
        <v>147</v>
      </c>
      <c r="F49" s="24" t="s">
        <v>146</v>
      </c>
      <c r="G49" s="24"/>
      <c r="H49" s="24" t="s">
        <v>144</v>
      </c>
      <c r="I49" s="24" t="s">
        <v>146</v>
      </c>
      <c r="J49" s="24" t="s">
        <v>147</v>
      </c>
      <c r="K49" s="24" t="s">
        <v>144</v>
      </c>
      <c r="L49" s="24" t="s">
        <v>94</v>
      </c>
      <c r="M49" s="24"/>
      <c r="N49" s="24" t="s">
        <v>94</v>
      </c>
      <c r="O49" s="24" t="s">
        <v>97</v>
      </c>
      <c r="P49" s="24" t="s">
        <v>96</v>
      </c>
      <c r="Q49" s="24" t="s">
        <v>94</v>
      </c>
      <c r="R49" s="24" t="s">
        <v>93</v>
      </c>
      <c r="S49" s="24"/>
      <c r="T49" s="24" t="s">
        <v>144</v>
      </c>
      <c r="U49" s="24" t="s">
        <v>147</v>
      </c>
      <c r="V49" s="24" t="s">
        <v>146</v>
      </c>
      <c r="W49" s="24" t="s">
        <v>144</v>
      </c>
      <c r="X49" s="24" t="s">
        <v>143</v>
      </c>
      <c r="Y49" s="24"/>
      <c r="Z49" s="24" t="s">
        <v>94</v>
      </c>
      <c r="AA49" s="24" t="s">
        <v>144</v>
      </c>
      <c r="AB49" s="24" t="s">
        <v>120</v>
      </c>
      <c r="AC49" s="24" t="s">
        <v>147</v>
      </c>
      <c r="AD49" s="24" t="s">
        <v>146</v>
      </c>
      <c r="AE49" s="24"/>
    </row>
    <row r="50" spans="2:31" ht="12.75">
      <c r="B50" s="24" t="s">
        <v>99</v>
      </c>
      <c r="C50" s="24" t="s">
        <v>149</v>
      </c>
      <c r="D50" s="24" t="s">
        <v>125</v>
      </c>
      <c r="E50" s="24" t="s">
        <v>152</v>
      </c>
      <c r="F50" s="24" t="s">
        <v>151</v>
      </c>
      <c r="G50" s="24"/>
      <c r="H50" s="24" t="s">
        <v>149</v>
      </c>
      <c r="I50" s="24" t="s">
        <v>151</v>
      </c>
      <c r="J50" s="24" t="s">
        <v>152</v>
      </c>
      <c r="K50" s="24" t="s">
        <v>149</v>
      </c>
      <c r="L50" s="24" t="s">
        <v>99</v>
      </c>
      <c r="M50" s="24"/>
      <c r="N50" s="24" t="s">
        <v>99</v>
      </c>
      <c r="O50" s="24" t="s">
        <v>102</v>
      </c>
      <c r="P50" s="24" t="s">
        <v>101</v>
      </c>
      <c r="Q50" s="24" t="s">
        <v>99</v>
      </c>
      <c r="R50" s="24" t="s">
        <v>98</v>
      </c>
      <c r="S50" s="24"/>
      <c r="T50" s="24" t="s">
        <v>149</v>
      </c>
      <c r="U50" s="24" t="s">
        <v>152</v>
      </c>
      <c r="V50" s="24" t="s">
        <v>151</v>
      </c>
      <c r="W50" s="24" t="s">
        <v>149</v>
      </c>
      <c r="X50" s="24" t="s">
        <v>148</v>
      </c>
      <c r="Y50" s="24"/>
      <c r="Z50" s="24" t="s">
        <v>99</v>
      </c>
      <c r="AA50" s="24" t="s">
        <v>149</v>
      </c>
      <c r="AB50" s="24" t="s">
        <v>125</v>
      </c>
      <c r="AC50" s="24" t="s">
        <v>152</v>
      </c>
      <c r="AD50" s="24" t="s">
        <v>151</v>
      </c>
      <c r="AE50" s="24"/>
    </row>
    <row r="51" spans="2:31" ht="12.75">
      <c r="B51" s="24" t="s">
        <v>104</v>
      </c>
      <c r="C51" s="24" t="s">
        <v>154</v>
      </c>
      <c r="D51" s="24" t="s">
        <v>130</v>
      </c>
      <c r="E51" s="24" t="s">
        <v>157</v>
      </c>
      <c r="F51" s="24" t="s">
        <v>156</v>
      </c>
      <c r="G51" s="24"/>
      <c r="H51" s="24" t="s">
        <v>154</v>
      </c>
      <c r="I51" s="24" t="s">
        <v>156</v>
      </c>
      <c r="J51" s="24" t="s">
        <v>157</v>
      </c>
      <c r="K51" s="24" t="s">
        <v>154</v>
      </c>
      <c r="L51" s="24" t="s">
        <v>104</v>
      </c>
      <c r="M51" s="24"/>
      <c r="N51" s="24" t="s">
        <v>104</v>
      </c>
      <c r="O51" s="24" t="s">
        <v>107</v>
      </c>
      <c r="P51" s="24" t="s">
        <v>106</v>
      </c>
      <c r="Q51" s="24" t="s">
        <v>104</v>
      </c>
      <c r="R51" s="24" t="s">
        <v>103</v>
      </c>
      <c r="S51" s="24"/>
      <c r="T51" s="24" t="s">
        <v>154</v>
      </c>
      <c r="U51" s="24" t="s">
        <v>157</v>
      </c>
      <c r="V51" s="24" t="s">
        <v>156</v>
      </c>
      <c r="W51" s="24" t="s">
        <v>154</v>
      </c>
      <c r="X51" s="24" t="s">
        <v>153</v>
      </c>
      <c r="Y51" s="24"/>
      <c r="Z51" s="24" t="s">
        <v>104</v>
      </c>
      <c r="AA51" s="24" t="s">
        <v>154</v>
      </c>
      <c r="AB51" s="24" t="s">
        <v>130</v>
      </c>
      <c r="AC51" s="24" t="s">
        <v>157</v>
      </c>
      <c r="AD51" s="24" t="s">
        <v>156</v>
      </c>
      <c r="AE51" s="24"/>
    </row>
    <row r="52" spans="2:31" ht="12.75">
      <c r="B52" s="24" t="s">
        <v>109</v>
      </c>
      <c r="C52" s="24" t="s">
        <v>159</v>
      </c>
      <c r="D52" s="24" t="s">
        <v>135</v>
      </c>
      <c r="E52" s="24" t="s">
        <v>162</v>
      </c>
      <c r="F52" s="24" t="s">
        <v>161</v>
      </c>
      <c r="G52" s="24"/>
      <c r="H52" s="24" t="s">
        <v>159</v>
      </c>
      <c r="I52" s="24" t="s">
        <v>161</v>
      </c>
      <c r="J52" s="24" t="s">
        <v>162</v>
      </c>
      <c r="K52" s="24" t="s">
        <v>159</v>
      </c>
      <c r="L52" s="24" t="s">
        <v>109</v>
      </c>
      <c r="M52" s="24"/>
      <c r="N52" s="24" t="s">
        <v>109</v>
      </c>
      <c r="O52" s="24" t="s">
        <v>112</v>
      </c>
      <c r="P52" s="24" t="s">
        <v>111</v>
      </c>
      <c r="Q52" s="24" t="s">
        <v>109</v>
      </c>
      <c r="R52" s="24" t="s">
        <v>108</v>
      </c>
      <c r="S52" s="24"/>
      <c r="T52" s="24" t="s">
        <v>159</v>
      </c>
      <c r="U52" s="24" t="s">
        <v>162</v>
      </c>
      <c r="V52" s="24" t="s">
        <v>161</v>
      </c>
      <c r="W52" s="24" t="s">
        <v>159</v>
      </c>
      <c r="X52" s="24" t="s">
        <v>158</v>
      </c>
      <c r="Y52" s="24"/>
      <c r="Z52" s="24" t="s">
        <v>109</v>
      </c>
      <c r="AA52" s="24" t="s">
        <v>159</v>
      </c>
      <c r="AB52" s="24" t="s">
        <v>135</v>
      </c>
      <c r="AC52" s="24" t="s">
        <v>162</v>
      </c>
      <c r="AD52" s="24" t="s">
        <v>161</v>
      </c>
      <c r="AE52" s="24"/>
    </row>
    <row r="53" spans="2:31" ht="12.75">
      <c r="B53" s="24" t="s">
        <v>114</v>
      </c>
      <c r="C53" s="24" t="s">
        <v>164</v>
      </c>
      <c r="D53" s="24" t="s">
        <v>140</v>
      </c>
      <c r="E53" s="24" t="s">
        <v>167</v>
      </c>
      <c r="F53" s="24" t="s">
        <v>166</v>
      </c>
      <c r="G53" s="24"/>
      <c r="H53" s="24" t="s">
        <v>164</v>
      </c>
      <c r="I53" s="24" t="s">
        <v>166</v>
      </c>
      <c r="J53" s="24" t="s">
        <v>167</v>
      </c>
      <c r="K53" s="24" t="s">
        <v>164</v>
      </c>
      <c r="L53" s="24" t="s">
        <v>114</v>
      </c>
      <c r="M53" s="24"/>
      <c r="N53" s="24" t="s">
        <v>114</v>
      </c>
      <c r="O53" s="24" t="s">
        <v>117</v>
      </c>
      <c r="P53" s="24" t="s">
        <v>116</v>
      </c>
      <c r="Q53" s="24" t="s">
        <v>114</v>
      </c>
      <c r="R53" s="24" t="s">
        <v>113</v>
      </c>
      <c r="S53" s="24"/>
      <c r="T53" s="24" t="s">
        <v>164</v>
      </c>
      <c r="U53" s="24" t="s">
        <v>167</v>
      </c>
      <c r="V53" s="24" t="s">
        <v>166</v>
      </c>
      <c r="W53" s="24" t="s">
        <v>164</v>
      </c>
      <c r="X53" s="24" t="s">
        <v>163</v>
      </c>
      <c r="Y53" s="24"/>
      <c r="Z53" s="24" t="s">
        <v>114</v>
      </c>
      <c r="AA53" s="24" t="s">
        <v>164</v>
      </c>
      <c r="AB53" s="24" t="s">
        <v>140</v>
      </c>
      <c r="AC53" s="24" t="s">
        <v>167</v>
      </c>
      <c r="AD53" s="24" t="s">
        <v>166</v>
      </c>
      <c r="AE53" s="24"/>
    </row>
    <row r="54" spans="2:31" ht="12.75">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row>
    <row r="55" spans="2:31" ht="12.75">
      <c r="B55" s="24" t="s">
        <v>68</v>
      </c>
      <c r="C55" s="24" t="s">
        <v>69</v>
      </c>
      <c r="D55" s="24" t="s">
        <v>70</v>
      </c>
      <c r="E55" s="24" t="s">
        <v>71</v>
      </c>
      <c r="F55" s="24" t="s">
        <v>72</v>
      </c>
      <c r="G55" s="24"/>
      <c r="H55" s="24" t="s">
        <v>69</v>
      </c>
      <c r="I55" s="24" t="s">
        <v>72</v>
      </c>
      <c r="J55" s="24" t="s">
        <v>71</v>
      </c>
      <c r="K55" s="24" t="s">
        <v>69</v>
      </c>
      <c r="L55" s="24" t="s">
        <v>68</v>
      </c>
      <c r="M55" s="24"/>
      <c r="N55" s="24" t="s">
        <v>119</v>
      </c>
      <c r="O55" s="24" t="s">
        <v>122</v>
      </c>
      <c r="P55" s="24" t="s">
        <v>121</v>
      </c>
      <c r="Q55" s="24" t="s">
        <v>119</v>
      </c>
      <c r="R55" s="24" t="s">
        <v>118</v>
      </c>
      <c r="S55" s="24"/>
      <c r="T55" s="24" t="s">
        <v>144</v>
      </c>
      <c r="U55" s="24" t="s">
        <v>146</v>
      </c>
      <c r="V55" s="24" t="s">
        <v>147</v>
      </c>
      <c r="W55" s="24" t="s">
        <v>144</v>
      </c>
      <c r="X55" s="24" t="s">
        <v>94</v>
      </c>
      <c r="Y55" s="24"/>
      <c r="Z55" s="24" t="s">
        <v>68</v>
      </c>
      <c r="AA55" s="24" t="s">
        <v>69</v>
      </c>
      <c r="AB55" s="24" t="s">
        <v>70</v>
      </c>
      <c r="AC55" s="24" t="s">
        <v>71</v>
      </c>
      <c r="AD55" s="24" t="s">
        <v>72</v>
      </c>
      <c r="AE55" s="24"/>
    </row>
    <row r="56" spans="2:31" ht="12.75">
      <c r="B56" s="24" t="s">
        <v>73</v>
      </c>
      <c r="C56" s="24" t="s">
        <v>74</v>
      </c>
      <c r="D56" s="24" t="s">
        <v>75</v>
      </c>
      <c r="E56" s="24" t="s">
        <v>76</v>
      </c>
      <c r="F56" s="24" t="s">
        <v>77</v>
      </c>
      <c r="G56" s="24"/>
      <c r="H56" s="24" t="s">
        <v>74</v>
      </c>
      <c r="I56" s="24" t="s">
        <v>77</v>
      </c>
      <c r="J56" s="24" t="s">
        <v>76</v>
      </c>
      <c r="K56" s="24" t="s">
        <v>74</v>
      </c>
      <c r="L56" s="24" t="s">
        <v>73</v>
      </c>
      <c r="M56" s="24"/>
      <c r="N56" s="24" t="s">
        <v>124</v>
      </c>
      <c r="O56" s="24" t="s">
        <v>127</v>
      </c>
      <c r="P56" s="24" t="s">
        <v>126</v>
      </c>
      <c r="Q56" s="24" t="s">
        <v>124</v>
      </c>
      <c r="R56" s="24" t="s">
        <v>123</v>
      </c>
      <c r="S56" s="24"/>
      <c r="T56" s="24" t="s">
        <v>149</v>
      </c>
      <c r="U56" s="24" t="s">
        <v>151</v>
      </c>
      <c r="V56" s="24" t="s">
        <v>152</v>
      </c>
      <c r="W56" s="24" t="s">
        <v>149</v>
      </c>
      <c r="X56" s="24" t="s">
        <v>99</v>
      </c>
      <c r="Y56" s="24"/>
      <c r="Z56" s="24" t="s">
        <v>73</v>
      </c>
      <c r="AA56" s="24" t="s">
        <v>74</v>
      </c>
      <c r="AB56" s="24" t="s">
        <v>75</v>
      </c>
      <c r="AC56" s="24" t="s">
        <v>76</v>
      </c>
      <c r="AD56" s="24" t="s">
        <v>77</v>
      </c>
      <c r="AE56" s="24"/>
    </row>
    <row r="57" spans="2:31" ht="12.75">
      <c r="B57" s="24" t="s">
        <v>78</v>
      </c>
      <c r="C57" s="24" t="s">
        <v>79</v>
      </c>
      <c r="D57" s="24" t="s">
        <v>80</v>
      </c>
      <c r="E57" s="24" t="s">
        <v>81</v>
      </c>
      <c r="F57" s="24" t="s">
        <v>82</v>
      </c>
      <c r="G57" s="24"/>
      <c r="H57" s="24" t="s">
        <v>79</v>
      </c>
      <c r="I57" s="24" t="s">
        <v>82</v>
      </c>
      <c r="J57" s="24" t="s">
        <v>81</v>
      </c>
      <c r="K57" s="24" t="s">
        <v>79</v>
      </c>
      <c r="L57" s="24" t="s">
        <v>78</v>
      </c>
      <c r="M57" s="24"/>
      <c r="N57" s="24" t="s">
        <v>129</v>
      </c>
      <c r="O57" s="24" t="s">
        <v>132</v>
      </c>
      <c r="P57" s="24" t="s">
        <v>131</v>
      </c>
      <c r="Q57" s="24" t="s">
        <v>129</v>
      </c>
      <c r="R57" s="24" t="s">
        <v>128</v>
      </c>
      <c r="S57" s="24"/>
      <c r="T57" s="24" t="s">
        <v>154</v>
      </c>
      <c r="U57" s="24" t="s">
        <v>156</v>
      </c>
      <c r="V57" s="24" t="s">
        <v>157</v>
      </c>
      <c r="W57" s="24" t="s">
        <v>154</v>
      </c>
      <c r="X57" s="24" t="s">
        <v>104</v>
      </c>
      <c r="Y57" s="24"/>
      <c r="Z57" s="24" t="s">
        <v>78</v>
      </c>
      <c r="AA57" s="24" t="s">
        <v>79</v>
      </c>
      <c r="AB57" s="24" t="s">
        <v>80</v>
      </c>
      <c r="AC57" s="24" t="s">
        <v>81</v>
      </c>
      <c r="AD57" s="24" t="s">
        <v>82</v>
      </c>
      <c r="AE57" s="24"/>
    </row>
    <row r="58" spans="2:31" ht="12.75">
      <c r="B58" s="24" t="s">
        <v>83</v>
      </c>
      <c r="C58" s="24" t="s">
        <v>84</v>
      </c>
      <c r="D58" s="24" t="s">
        <v>85</v>
      </c>
      <c r="E58" s="24" t="s">
        <v>86</v>
      </c>
      <c r="F58" s="24" t="s">
        <v>87</v>
      </c>
      <c r="G58" s="24"/>
      <c r="H58" s="24" t="s">
        <v>84</v>
      </c>
      <c r="I58" s="24" t="s">
        <v>87</v>
      </c>
      <c r="J58" s="24" t="s">
        <v>86</v>
      </c>
      <c r="K58" s="24" t="s">
        <v>84</v>
      </c>
      <c r="L58" s="24" t="s">
        <v>83</v>
      </c>
      <c r="M58" s="24"/>
      <c r="N58" s="24" t="s">
        <v>134</v>
      </c>
      <c r="O58" s="24" t="s">
        <v>137</v>
      </c>
      <c r="P58" s="24" t="s">
        <v>136</v>
      </c>
      <c r="Q58" s="24" t="s">
        <v>134</v>
      </c>
      <c r="R58" s="24" t="s">
        <v>133</v>
      </c>
      <c r="S58" s="24"/>
      <c r="T58" s="24" t="s">
        <v>159</v>
      </c>
      <c r="U58" s="24" t="s">
        <v>161</v>
      </c>
      <c r="V58" s="24" t="s">
        <v>162</v>
      </c>
      <c r="W58" s="24" t="s">
        <v>159</v>
      </c>
      <c r="X58" s="24" t="s">
        <v>109</v>
      </c>
      <c r="Y58" s="24"/>
      <c r="Z58" s="24" t="s">
        <v>83</v>
      </c>
      <c r="AA58" s="24" t="s">
        <v>84</v>
      </c>
      <c r="AB58" s="24" t="s">
        <v>85</v>
      </c>
      <c r="AC58" s="24" t="s">
        <v>86</v>
      </c>
      <c r="AD58" s="24" t="s">
        <v>87</v>
      </c>
      <c r="AE58" s="24"/>
    </row>
    <row r="59" spans="2:31" ht="12.75">
      <c r="B59" s="24" t="s">
        <v>88</v>
      </c>
      <c r="C59" s="24" t="s">
        <v>89</v>
      </c>
      <c r="D59" s="24" t="s">
        <v>90</v>
      </c>
      <c r="E59" s="24" t="s">
        <v>91</v>
      </c>
      <c r="F59" s="24" t="s">
        <v>92</v>
      </c>
      <c r="G59" s="24"/>
      <c r="H59" s="24" t="s">
        <v>89</v>
      </c>
      <c r="I59" s="24" t="s">
        <v>92</v>
      </c>
      <c r="J59" s="24" t="s">
        <v>91</v>
      </c>
      <c r="K59" s="24" t="s">
        <v>89</v>
      </c>
      <c r="L59" s="24" t="s">
        <v>88</v>
      </c>
      <c r="M59" s="24"/>
      <c r="N59" s="24" t="s">
        <v>139</v>
      </c>
      <c r="O59" s="24" t="s">
        <v>142</v>
      </c>
      <c r="P59" s="24" t="s">
        <v>141</v>
      </c>
      <c r="Q59" s="24" t="s">
        <v>139</v>
      </c>
      <c r="R59" s="24" t="s">
        <v>138</v>
      </c>
      <c r="S59" s="24"/>
      <c r="T59" s="24" t="s">
        <v>164</v>
      </c>
      <c r="U59" s="24" t="s">
        <v>166</v>
      </c>
      <c r="V59" s="24" t="s">
        <v>167</v>
      </c>
      <c r="W59" s="24" t="s">
        <v>164</v>
      </c>
      <c r="X59" s="24" t="s">
        <v>114</v>
      </c>
      <c r="Y59" s="24"/>
      <c r="Z59" s="24" t="s">
        <v>88</v>
      </c>
      <c r="AA59" s="24" t="s">
        <v>89</v>
      </c>
      <c r="AB59" s="24" t="s">
        <v>90</v>
      </c>
      <c r="AC59" s="24" t="s">
        <v>91</v>
      </c>
      <c r="AD59" s="24" t="s">
        <v>92</v>
      </c>
      <c r="AE59" s="24"/>
    </row>
    <row r="60" spans="2:31" ht="12.75">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row>
    <row r="61" spans="2:31" ht="12.75">
      <c r="B61" s="24" t="s">
        <v>93</v>
      </c>
      <c r="C61" s="24" t="s">
        <v>94</v>
      </c>
      <c r="D61" s="24" t="s">
        <v>95</v>
      </c>
      <c r="E61" s="24" t="s">
        <v>96</v>
      </c>
      <c r="F61" s="24" t="s">
        <v>97</v>
      </c>
      <c r="G61" s="24"/>
      <c r="H61" s="24" t="s">
        <v>94</v>
      </c>
      <c r="I61" s="24" t="s">
        <v>97</v>
      </c>
      <c r="J61" s="24" t="s">
        <v>96</v>
      </c>
      <c r="K61" s="24" t="s">
        <v>94</v>
      </c>
      <c r="L61" s="24" t="s">
        <v>93</v>
      </c>
      <c r="M61" s="24"/>
      <c r="N61" s="24" t="s">
        <v>144</v>
      </c>
      <c r="O61" s="24" t="s">
        <v>147</v>
      </c>
      <c r="P61" s="24" t="s">
        <v>146</v>
      </c>
      <c r="Q61" s="24" t="s">
        <v>144</v>
      </c>
      <c r="R61" s="24" t="s">
        <v>143</v>
      </c>
      <c r="S61" s="24"/>
      <c r="T61" s="24" t="s">
        <v>69</v>
      </c>
      <c r="U61" s="24" t="s">
        <v>72</v>
      </c>
      <c r="V61" s="24" t="s">
        <v>71</v>
      </c>
      <c r="W61" s="24" t="s">
        <v>69</v>
      </c>
      <c r="X61" s="24" t="s">
        <v>68</v>
      </c>
      <c r="Y61" s="24"/>
      <c r="Z61" s="24" t="s">
        <v>93</v>
      </c>
      <c r="AA61" s="24" t="s">
        <v>94</v>
      </c>
      <c r="AB61" s="24" t="s">
        <v>95</v>
      </c>
      <c r="AC61" s="24" t="s">
        <v>96</v>
      </c>
      <c r="AD61" s="24" t="s">
        <v>97</v>
      </c>
      <c r="AE61" s="24"/>
    </row>
    <row r="62" spans="2:31" ht="12.75">
      <c r="B62" s="24" t="s">
        <v>98</v>
      </c>
      <c r="C62" s="24" t="s">
        <v>99</v>
      </c>
      <c r="D62" s="24" t="s">
        <v>100</v>
      </c>
      <c r="E62" s="24" t="s">
        <v>101</v>
      </c>
      <c r="F62" s="24" t="s">
        <v>102</v>
      </c>
      <c r="G62" s="24"/>
      <c r="H62" s="24" t="s">
        <v>99</v>
      </c>
      <c r="I62" s="24" t="s">
        <v>102</v>
      </c>
      <c r="J62" s="24" t="s">
        <v>101</v>
      </c>
      <c r="K62" s="24" t="s">
        <v>99</v>
      </c>
      <c r="L62" s="24" t="s">
        <v>98</v>
      </c>
      <c r="M62" s="24"/>
      <c r="N62" s="24" t="s">
        <v>149</v>
      </c>
      <c r="O62" s="24" t="s">
        <v>152</v>
      </c>
      <c r="P62" s="24" t="s">
        <v>151</v>
      </c>
      <c r="Q62" s="24" t="s">
        <v>149</v>
      </c>
      <c r="R62" s="24" t="s">
        <v>148</v>
      </c>
      <c r="S62" s="24"/>
      <c r="T62" s="24" t="s">
        <v>74</v>
      </c>
      <c r="U62" s="24" t="s">
        <v>77</v>
      </c>
      <c r="V62" s="24" t="s">
        <v>76</v>
      </c>
      <c r="W62" s="24" t="s">
        <v>74</v>
      </c>
      <c r="X62" s="24" t="s">
        <v>73</v>
      </c>
      <c r="Y62" s="24"/>
      <c r="Z62" s="24" t="s">
        <v>98</v>
      </c>
      <c r="AA62" s="24" t="s">
        <v>99</v>
      </c>
      <c r="AB62" s="24" t="s">
        <v>100</v>
      </c>
      <c r="AC62" s="24" t="s">
        <v>101</v>
      </c>
      <c r="AD62" s="24" t="s">
        <v>102</v>
      </c>
      <c r="AE62" s="24"/>
    </row>
    <row r="63" spans="2:31" ht="12.75">
      <c r="B63" s="24" t="s">
        <v>103</v>
      </c>
      <c r="C63" s="24" t="s">
        <v>104</v>
      </c>
      <c r="D63" s="24" t="s">
        <v>105</v>
      </c>
      <c r="E63" s="24" t="s">
        <v>106</v>
      </c>
      <c r="F63" s="24" t="s">
        <v>107</v>
      </c>
      <c r="G63" s="24"/>
      <c r="H63" s="24" t="s">
        <v>104</v>
      </c>
      <c r="I63" s="24" t="s">
        <v>107</v>
      </c>
      <c r="J63" s="24" t="s">
        <v>106</v>
      </c>
      <c r="K63" s="24" t="s">
        <v>104</v>
      </c>
      <c r="L63" s="24" t="s">
        <v>103</v>
      </c>
      <c r="M63" s="24"/>
      <c r="N63" s="24" t="s">
        <v>154</v>
      </c>
      <c r="O63" s="24" t="s">
        <v>157</v>
      </c>
      <c r="P63" s="24" t="s">
        <v>156</v>
      </c>
      <c r="Q63" s="24" t="s">
        <v>154</v>
      </c>
      <c r="R63" s="24" t="s">
        <v>153</v>
      </c>
      <c r="S63" s="24"/>
      <c r="T63" s="24" t="s">
        <v>79</v>
      </c>
      <c r="U63" s="24" t="s">
        <v>82</v>
      </c>
      <c r="V63" s="24" t="s">
        <v>81</v>
      </c>
      <c r="W63" s="24" t="s">
        <v>79</v>
      </c>
      <c r="X63" s="24" t="s">
        <v>78</v>
      </c>
      <c r="Y63" s="24"/>
      <c r="Z63" s="24" t="s">
        <v>103</v>
      </c>
      <c r="AA63" s="24" t="s">
        <v>104</v>
      </c>
      <c r="AB63" s="24" t="s">
        <v>105</v>
      </c>
      <c r="AC63" s="24" t="s">
        <v>106</v>
      </c>
      <c r="AD63" s="24" t="s">
        <v>107</v>
      </c>
      <c r="AE63" s="24"/>
    </row>
    <row r="64" spans="2:31" ht="12.75">
      <c r="B64" s="24" t="s">
        <v>108</v>
      </c>
      <c r="C64" s="24" t="s">
        <v>109</v>
      </c>
      <c r="D64" s="24" t="s">
        <v>110</v>
      </c>
      <c r="E64" s="24" t="s">
        <v>111</v>
      </c>
      <c r="F64" s="24" t="s">
        <v>112</v>
      </c>
      <c r="G64" s="24"/>
      <c r="H64" s="24" t="s">
        <v>109</v>
      </c>
      <c r="I64" s="24" t="s">
        <v>112</v>
      </c>
      <c r="J64" s="24" t="s">
        <v>111</v>
      </c>
      <c r="K64" s="24" t="s">
        <v>109</v>
      </c>
      <c r="L64" s="24" t="s">
        <v>108</v>
      </c>
      <c r="M64" s="24"/>
      <c r="N64" s="24" t="s">
        <v>159</v>
      </c>
      <c r="O64" s="24" t="s">
        <v>162</v>
      </c>
      <c r="P64" s="24" t="s">
        <v>161</v>
      </c>
      <c r="Q64" s="24" t="s">
        <v>159</v>
      </c>
      <c r="R64" s="24" t="s">
        <v>158</v>
      </c>
      <c r="S64" s="24"/>
      <c r="T64" s="24" t="s">
        <v>84</v>
      </c>
      <c r="U64" s="24" t="s">
        <v>87</v>
      </c>
      <c r="V64" s="24" t="s">
        <v>86</v>
      </c>
      <c r="W64" s="24" t="s">
        <v>84</v>
      </c>
      <c r="X64" s="24" t="s">
        <v>83</v>
      </c>
      <c r="Y64" s="24"/>
      <c r="Z64" s="24" t="s">
        <v>108</v>
      </c>
      <c r="AA64" s="24" t="s">
        <v>109</v>
      </c>
      <c r="AB64" s="24" t="s">
        <v>110</v>
      </c>
      <c r="AC64" s="24" t="s">
        <v>111</v>
      </c>
      <c r="AD64" s="24" t="s">
        <v>112</v>
      </c>
      <c r="AE64" s="24"/>
    </row>
    <row r="65" spans="2:31" ht="12.75">
      <c r="B65" s="24" t="s">
        <v>113</v>
      </c>
      <c r="C65" s="24" t="s">
        <v>114</v>
      </c>
      <c r="D65" s="24" t="s">
        <v>115</v>
      </c>
      <c r="E65" s="24" t="s">
        <v>116</v>
      </c>
      <c r="F65" s="24" t="s">
        <v>117</v>
      </c>
      <c r="G65" s="24"/>
      <c r="H65" s="24" t="s">
        <v>114</v>
      </c>
      <c r="I65" s="24" t="s">
        <v>117</v>
      </c>
      <c r="J65" s="24" t="s">
        <v>116</v>
      </c>
      <c r="K65" s="24" t="s">
        <v>114</v>
      </c>
      <c r="L65" s="24" t="s">
        <v>113</v>
      </c>
      <c r="M65" s="24"/>
      <c r="N65" s="24" t="s">
        <v>164</v>
      </c>
      <c r="O65" s="24" t="s">
        <v>167</v>
      </c>
      <c r="P65" s="24" t="s">
        <v>166</v>
      </c>
      <c r="Q65" s="24" t="s">
        <v>164</v>
      </c>
      <c r="R65" s="24" t="s">
        <v>163</v>
      </c>
      <c r="S65" s="24"/>
      <c r="T65" s="24" t="s">
        <v>89</v>
      </c>
      <c r="U65" s="24" t="s">
        <v>92</v>
      </c>
      <c r="V65" s="24" t="s">
        <v>91</v>
      </c>
      <c r="W65" s="24" t="s">
        <v>89</v>
      </c>
      <c r="X65" s="24" t="s">
        <v>88</v>
      </c>
      <c r="Y65" s="24"/>
      <c r="Z65" s="24" t="s">
        <v>113</v>
      </c>
      <c r="AA65" s="24" t="s">
        <v>114</v>
      </c>
      <c r="AB65" s="24" t="s">
        <v>115</v>
      </c>
      <c r="AC65" s="24" t="s">
        <v>116</v>
      </c>
      <c r="AD65" s="24" t="s">
        <v>117</v>
      </c>
      <c r="AE65" s="24"/>
    </row>
    <row r="66" spans="2:31" ht="12.75">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row>
    <row r="67" spans="2:31" ht="12.75">
      <c r="B67" s="24" t="s">
        <v>118</v>
      </c>
      <c r="C67" s="24" t="s">
        <v>119</v>
      </c>
      <c r="D67" s="24" t="s">
        <v>120</v>
      </c>
      <c r="E67" s="24" t="s">
        <v>121</v>
      </c>
      <c r="F67" s="24" t="s">
        <v>122</v>
      </c>
      <c r="G67" s="24"/>
      <c r="H67" s="24" t="s">
        <v>119</v>
      </c>
      <c r="I67" s="24" t="s">
        <v>122</v>
      </c>
      <c r="J67" s="24" t="s">
        <v>121</v>
      </c>
      <c r="K67" s="24" t="s">
        <v>119</v>
      </c>
      <c r="L67" s="24" t="s">
        <v>118</v>
      </c>
      <c r="M67" s="24"/>
      <c r="N67" s="24" t="s">
        <v>144</v>
      </c>
      <c r="O67" s="24" t="s">
        <v>146</v>
      </c>
      <c r="P67" s="24" t="s">
        <v>147</v>
      </c>
      <c r="Q67" s="24" t="s">
        <v>144</v>
      </c>
      <c r="R67" s="24" t="s">
        <v>94</v>
      </c>
      <c r="S67" s="24"/>
      <c r="T67" s="24" t="s">
        <v>94</v>
      </c>
      <c r="U67" s="24" t="s">
        <v>97</v>
      </c>
      <c r="V67" s="24" t="s">
        <v>96</v>
      </c>
      <c r="W67" s="24" t="s">
        <v>94</v>
      </c>
      <c r="X67" s="24" t="s">
        <v>93</v>
      </c>
      <c r="Y67" s="24"/>
      <c r="Z67" s="24" t="s">
        <v>118</v>
      </c>
      <c r="AA67" s="24" t="s">
        <v>119</v>
      </c>
      <c r="AB67" s="24" t="s">
        <v>120</v>
      </c>
      <c r="AC67" s="24" t="s">
        <v>121</v>
      </c>
      <c r="AD67" s="24" t="s">
        <v>122</v>
      </c>
      <c r="AE67" s="24"/>
    </row>
    <row r="68" spans="2:31" ht="12.75">
      <c r="B68" s="24" t="s">
        <v>123</v>
      </c>
      <c r="C68" s="24" t="s">
        <v>124</v>
      </c>
      <c r="D68" s="24" t="s">
        <v>125</v>
      </c>
      <c r="E68" s="24" t="s">
        <v>126</v>
      </c>
      <c r="F68" s="24" t="s">
        <v>127</v>
      </c>
      <c r="G68" s="24"/>
      <c r="H68" s="24" t="s">
        <v>124</v>
      </c>
      <c r="I68" s="24" t="s">
        <v>127</v>
      </c>
      <c r="J68" s="24" t="s">
        <v>126</v>
      </c>
      <c r="K68" s="24" t="s">
        <v>124</v>
      </c>
      <c r="L68" s="24" t="s">
        <v>123</v>
      </c>
      <c r="M68" s="24"/>
      <c r="N68" s="24" t="s">
        <v>149</v>
      </c>
      <c r="O68" s="24" t="s">
        <v>151</v>
      </c>
      <c r="P68" s="24" t="s">
        <v>152</v>
      </c>
      <c r="Q68" s="24" t="s">
        <v>149</v>
      </c>
      <c r="R68" s="24" t="s">
        <v>99</v>
      </c>
      <c r="S68" s="24"/>
      <c r="T68" s="24" t="s">
        <v>99</v>
      </c>
      <c r="U68" s="24" t="s">
        <v>102</v>
      </c>
      <c r="V68" s="24" t="s">
        <v>101</v>
      </c>
      <c r="W68" s="24" t="s">
        <v>99</v>
      </c>
      <c r="X68" s="24" t="s">
        <v>98</v>
      </c>
      <c r="Y68" s="24"/>
      <c r="Z68" s="24" t="s">
        <v>123</v>
      </c>
      <c r="AA68" s="24" t="s">
        <v>124</v>
      </c>
      <c r="AB68" s="24" t="s">
        <v>125</v>
      </c>
      <c r="AC68" s="24" t="s">
        <v>126</v>
      </c>
      <c r="AD68" s="24" t="s">
        <v>127</v>
      </c>
      <c r="AE68" s="24"/>
    </row>
    <row r="69" spans="2:31" ht="12.75">
      <c r="B69" s="24" t="s">
        <v>128</v>
      </c>
      <c r="C69" s="24" t="s">
        <v>129</v>
      </c>
      <c r="D69" s="24" t="s">
        <v>130</v>
      </c>
      <c r="E69" s="24" t="s">
        <v>131</v>
      </c>
      <c r="F69" s="24" t="s">
        <v>132</v>
      </c>
      <c r="G69" s="24"/>
      <c r="H69" s="24" t="s">
        <v>129</v>
      </c>
      <c r="I69" s="24" t="s">
        <v>132</v>
      </c>
      <c r="J69" s="24" t="s">
        <v>131</v>
      </c>
      <c r="K69" s="24" t="s">
        <v>129</v>
      </c>
      <c r="L69" s="24" t="s">
        <v>128</v>
      </c>
      <c r="M69" s="24"/>
      <c r="N69" s="24" t="s">
        <v>154</v>
      </c>
      <c r="O69" s="24" t="s">
        <v>156</v>
      </c>
      <c r="P69" s="24" t="s">
        <v>157</v>
      </c>
      <c r="Q69" s="24" t="s">
        <v>154</v>
      </c>
      <c r="R69" s="24" t="s">
        <v>104</v>
      </c>
      <c r="S69" s="24"/>
      <c r="T69" s="24" t="s">
        <v>104</v>
      </c>
      <c r="U69" s="24" t="s">
        <v>107</v>
      </c>
      <c r="V69" s="24" t="s">
        <v>106</v>
      </c>
      <c r="W69" s="24" t="s">
        <v>104</v>
      </c>
      <c r="X69" s="24" t="s">
        <v>103</v>
      </c>
      <c r="Y69" s="24"/>
      <c r="Z69" s="24" t="s">
        <v>128</v>
      </c>
      <c r="AA69" s="24" t="s">
        <v>129</v>
      </c>
      <c r="AB69" s="24" t="s">
        <v>130</v>
      </c>
      <c r="AC69" s="24" t="s">
        <v>131</v>
      </c>
      <c r="AD69" s="24" t="s">
        <v>132</v>
      </c>
      <c r="AE69" s="24"/>
    </row>
    <row r="70" spans="2:31" ht="12.75">
      <c r="B70" s="24" t="s">
        <v>133</v>
      </c>
      <c r="C70" s="24" t="s">
        <v>134</v>
      </c>
      <c r="D70" s="24" t="s">
        <v>135</v>
      </c>
      <c r="E70" s="24" t="s">
        <v>136</v>
      </c>
      <c r="F70" s="24" t="s">
        <v>137</v>
      </c>
      <c r="G70" s="24"/>
      <c r="H70" s="24" t="s">
        <v>134</v>
      </c>
      <c r="I70" s="24" t="s">
        <v>137</v>
      </c>
      <c r="J70" s="24" t="s">
        <v>136</v>
      </c>
      <c r="K70" s="24" t="s">
        <v>134</v>
      </c>
      <c r="L70" s="24" t="s">
        <v>133</v>
      </c>
      <c r="M70" s="24"/>
      <c r="N70" s="24" t="s">
        <v>159</v>
      </c>
      <c r="O70" s="24" t="s">
        <v>161</v>
      </c>
      <c r="P70" s="24" t="s">
        <v>162</v>
      </c>
      <c r="Q70" s="24" t="s">
        <v>159</v>
      </c>
      <c r="R70" s="24" t="s">
        <v>109</v>
      </c>
      <c r="S70" s="24"/>
      <c r="T70" s="24" t="s">
        <v>109</v>
      </c>
      <c r="U70" s="24" t="s">
        <v>112</v>
      </c>
      <c r="V70" s="24" t="s">
        <v>111</v>
      </c>
      <c r="W70" s="24" t="s">
        <v>109</v>
      </c>
      <c r="X70" s="24" t="s">
        <v>108</v>
      </c>
      <c r="Y70" s="24"/>
      <c r="Z70" s="24" t="s">
        <v>133</v>
      </c>
      <c r="AA70" s="24" t="s">
        <v>134</v>
      </c>
      <c r="AB70" s="24" t="s">
        <v>135</v>
      </c>
      <c r="AC70" s="24" t="s">
        <v>136</v>
      </c>
      <c r="AD70" s="24" t="s">
        <v>137</v>
      </c>
      <c r="AE70" s="24"/>
    </row>
    <row r="71" spans="2:31" ht="12.75">
      <c r="B71" s="24" t="s">
        <v>138</v>
      </c>
      <c r="C71" s="24" t="s">
        <v>139</v>
      </c>
      <c r="D71" s="24" t="s">
        <v>140</v>
      </c>
      <c r="E71" s="24" t="s">
        <v>141</v>
      </c>
      <c r="F71" s="24" t="s">
        <v>142</v>
      </c>
      <c r="G71" s="24"/>
      <c r="H71" s="24" t="s">
        <v>139</v>
      </c>
      <c r="I71" s="24" t="s">
        <v>142</v>
      </c>
      <c r="J71" s="24" t="s">
        <v>141</v>
      </c>
      <c r="K71" s="24" t="s">
        <v>139</v>
      </c>
      <c r="L71" s="24" t="s">
        <v>138</v>
      </c>
      <c r="M71" s="24"/>
      <c r="N71" s="24" t="s">
        <v>164</v>
      </c>
      <c r="O71" s="24" t="s">
        <v>166</v>
      </c>
      <c r="P71" s="24" t="s">
        <v>167</v>
      </c>
      <c r="Q71" s="24" t="s">
        <v>164</v>
      </c>
      <c r="R71" s="24" t="s">
        <v>114</v>
      </c>
      <c r="S71" s="24"/>
      <c r="T71" s="24" t="s">
        <v>114</v>
      </c>
      <c r="U71" s="24" t="s">
        <v>117</v>
      </c>
      <c r="V71" s="24" t="s">
        <v>116</v>
      </c>
      <c r="W71" s="24" t="s">
        <v>114</v>
      </c>
      <c r="X71" s="24" t="s">
        <v>113</v>
      </c>
      <c r="Y71" s="24"/>
      <c r="Z71" s="24" t="s">
        <v>138</v>
      </c>
      <c r="AA71" s="24" t="s">
        <v>139</v>
      </c>
      <c r="AB71" s="24" t="s">
        <v>140</v>
      </c>
      <c r="AC71" s="24" t="s">
        <v>141</v>
      </c>
      <c r="AD71" s="24" t="s">
        <v>142</v>
      </c>
      <c r="AE71" s="24"/>
    </row>
    <row r="72" spans="2:31" ht="12.75">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row>
    <row r="73" spans="2:31" ht="12.75">
      <c r="B73" s="24" t="s">
        <v>143</v>
      </c>
      <c r="C73" s="24" t="s">
        <v>144</v>
      </c>
      <c r="D73" s="24" t="s">
        <v>145</v>
      </c>
      <c r="E73" s="24" t="s">
        <v>146</v>
      </c>
      <c r="F73" s="24" t="s">
        <v>147</v>
      </c>
      <c r="G73" s="24"/>
      <c r="H73" s="24" t="s">
        <v>144</v>
      </c>
      <c r="I73" s="24" t="s">
        <v>147</v>
      </c>
      <c r="J73" s="24" t="s">
        <v>146</v>
      </c>
      <c r="K73" s="24" t="s">
        <v>144</v>
      </c>
      <c r="L73" s="24" t="s">
        <v>143</v>
      </c>
      <c r="M73" s="24"/>
      <c r="N73" s="24" t="s">
        <v>69</v>
      </c>
      <c r="O73" s="24" t="s">
        <v>72</v>
      </c>
      <c r="P73" s="24" t="s">
        <v>71</v>
      </c>
      <c r="Q73" s="24" t="s">
        <v>69</v>
      </c>
      <c r="R73" s="24" t="s">
        <v>68</v>
      </c>
      <c r="S73" s="24"/>
      <c r="T73" s="24" t="s">
        <v>119</v>
      </c>
      <c r="U73" s="24" t="s">
        <v>122</v>
      </c>
      <c r="V73" s="24" t="s">
        <v>121</v>
      </c>
      <c r="W73" s="24" t="s">
        <v>119</v>
      </c>
      <c r="X73" s="24" t="s">
        <v>118</v>
      </c>
      <c r="Y73" s="24"/>
      <c r="Z73" s="24" t="s">
        <v>143</v>
      </c>
      <c r="AA73" s="24" t="s">
        <v>144</v>
      </c>
      <c r="AB73" s="24" t="s">
        <v>145</v>
      </c>
      <c r="AC73" s="24" t="s">
        <v>146</v>
      </c>
      <c r="AD73" s="24" t="s">
        <v>147</v>
      </c>
      <c r="AE73" s="24"/>
    </row>
    <row r="74" spans="2:31" ht="12.75">
      <c r="B74" s="24" t="s">
        <v>148</v>
      </c>
      <c r="C74" s="24" t="s">
        <v>149</v>
      </c>
      <c r="D74" s="24" t="s">
        <v>150</v>
      </c>
      <c r="E74" s="24" t="s">
        <v>151</v>
      </c>
      <c r="F74" s="24" t="s">
        <v>152</v>
      </c>
      <c r="G74" s="24"/>
      <c r="H74" s="24" t="s">
        <v>149</v>
      </c>
      <c r="I74" s="24" t="s">
        <v>152</v>
      </c>
      <c r="J74" s="24" t="s">
        <v>151</v>
      </c>
      <c r="K74" s="24" t="s">
        <v>149</v>
      </c>
      <c r="L74" s="24" t="s">
        <v>148</v>
      </c>
      <c r="M74" s="24"/>
      <c r="N74" s="24" t="s">
        <v>74</v>
      </c>
      <c r="O74" s="24" t="s">
        <v>77</v>
      </c>
      <c r="P74" s="24" t="s">
        <v>76</v>
      </c>
      <c r="Q74" s="24" t="s">
        <v>74</v>
      </c>
      <c r="R74" s="24" t="s">
        <v>73</v>
      </c>
      <c r="S74" s="24"/>
      <c r="T74" s="24" t="s">
        <v>124</v>
      </c>
      <c r="U74" s="24" t="s">
        <v>127</v>
      </c>
      <c r="V74" s="24" t="s">
        <v>126</v>
      </c>
      <c r="W74" s="24" t="s">
        <v>124</v>
      </c>
      <c r="X74" s="24" t="s">
        <v>123</v>
      </c>
      <c r="Y74" s="24"/>
      <c r="Z74" s="24" t="s">
        <v>148</v>
      </c>
      <c r="AA74" s="24" t="s">
        <v>149</v>
      </c>
      <c r="AB74" s="24" t="s">
        <v>150</v>
      </c>
      <c r="AC74" s="24" t="s">
        <v>151</v>
      </c>
      <c r="AD74" s="24" t="s">
        <v>152</v>
      </c>
      <c r="AE74" s="24"/>
    </row>
    <row r="75" spans="2:31" ht="12.75">
      <c r="B75" s="24" t="s">
        <v>153</v>
      </c>
      <c r="C75" s="24" t="s">
        <v>154</v>
      </c>
      <c r="D75" s="24" t="s">
        <v>155</v>
      </c>
      <c r="E75" s="24" t="s">
        <v>156</v>
      </c>
      <c r="F75" s="24" t="s">
        <v>157</v>
      </c>
      <c r="G75" s="24"/>
      <c r="H75" s="24" t="s">
        <v>154</v>
      </c>
      <c r="I75" s="24" t="s">
        <v>157</v>
      </c>
      <c r="J75" s="24" t="s">
        <v>156</v>
      </c>
      <c r="K75" s="24" t="s">
        <v>154</v>
      </c>
      <c r="L75" s="24" t="s">
        <v>153</v>
      </c>
      <c r="M75" s="24"/>
      <c r="N75" s="24" t="s">
        <v>79</v>
      </c>
      <c r="O75" s="24" t="s">
        <v>82</v>
      </c>
      <c r="P75" s="24" t="s">
        <v>81</v>
      </c>
      <c r="Q75" s="24" t="s">
        <v>79</v>
      </c>
      <c r="R75" s="24" t="s">
        <v>78</v>
      </c>
      <c r="S75" s="24"/>
      <c r="T75" s="24" t="s">
        <v>129</v>
      </c>
      <c r="U75" s="24" t="s">
        <v>132</v>
      </c>
      <c r="V75" s="24" t="s">
        <v>131</v>
      </c>
      <c r="W75" s="24" t="s">
        <v>129</v>
      </c>
      <c r="X75" s="24" t="s">
        <v>128</v>
      </c>
      <c r="Y75" s="24"/>
      <c r="Z75" s="24" t="s">
        <v>153</v>
      </c>
      <c r="AA75" s="24" t="s">
        <v>154</v>
      </c>
      <c r="AB75" s="24" t="s">
        <v>155</v>
      </c>
      <c r="AC75" s="24" t="s">
        <v>156</v>
      </c>
      <c r="AD75" s="24" t="s">
        <v>157</v>
      </c>
      <c r="AE75" s="24"/>
    </row>
    <row r="76" spans="2:31" ht="12.75">
      <c r="B76" s="24" t="s">
        <v>158</v>
      </c>
      <c r="C76" s="24" t="s">
        <v>159</v>
      </c>
      <c r="D76" s="24" t="s">
        <v>160</v>
      </c>
      <c r="E76" s="24" t="s">
        <v>161</v>
      </c>
      <c r="F76" s="24" t="s">
        <v>162</v>
      </c>
      <c r="G76" s="24"/>
      <c r="H76" s="24" t="s">
        <v>159</v>
      </c>
      <c r="I76" s="24" t="s">
        <v>162</v>
      </c>
      <c r="J76" s="24" t="s">
        <v>161</v>
      </c>
      <c r="K76" s="24" t="s">
        <v>159</v>
      </c>
      <c r="L76" s="24" t="s">
        <v>158</v>
      </c>
      <c r="M76" s="24"/>
      <c r="N76" s="24" t="s">
        <v>84</v>
      </c>
      <c r="O76" s="24" t="s">
        <v>87</v>
      </c>
      <c r="P76" s="24" t="s">
        <v>86</v>
      </c>
      <c r="Q76" s="24" t="s">
        <v>84</v>
      </c>
      <c r="R76" s="24" t="s">
        <v>83</v>
      </c>
      <c r="S76" s="24"/>
      <c r="T76" s="24" t="s">
        <v>134</v>
      </c>
      <c r="U76" s="24" t="s">
        <v>137</v>
      </c>
      <c r="V76" s="24" t="s">
        <v>136</v>
      </c>
      <c r="W76" s="24" t="s">
        <v>134</v>
      </c>
      <c r="X76" s="24" t="s">
        <v>133</v>
      </c>
      <c r="Y76" s="24"/>
      <c r="Z76" s="24" t="s">
        <v>158</v>
      </c>
      <c r="AA76" s="24" t="s">
        <v>159</v>
      </c>
      <c r="AB76" s="24" t="s">
        <v>160</v>
      </c>
      <c r="AC76" s="24" t="s">
        <v>161</v>
      </c>
      <c r="AD76" s="24" t="s">
        <v>162</v>
      </c>
      <c r="AE76" s="24"/>
    </row>
    <row r="77" spans="2:31" ht="12.75">
      <c r="B77" s="24" t="s">
        <v>163</v>
      </c>
      <c r="C77" s="24" t="s">
        <v>164</v>
      </c>
      <c r="D77" s="24" t="s">
        <v>165</v>
      </c>
      <c r="E77" s="24" t="s">
        <v>166</v>
      </c>
      <c r="F77" s="24" t="s">
        <v>167</v>
      </c>
      <c r="G77" s="24"/>
      <c r="H77" s="24" t="s">
        <v>164</v>
      </c>
      <c r="I77" s="24" t="s">
        <v>167</v>
      </c>
      <c r="J77" s="24" t="s">
        <v>166</v>
      </c>
      <c r="K77" s="24" t="s">
        <v>164</v>
      </c>
      <c r="L77" s="24" t="s">
        <v>163</v>
      </c>
      <c r="M77" s="24"/>
      <c r="N77" s="24" t="s">
        <v>89</v>
      </c>
      <c r="O77" s="24" t="s">
        <v>92</v>
      </c>
      <c r="P77" s="24" t="s">
        <v>91</v>
      </c>
      <c r="Q77" s="24" t="s">
        <v>89</v>
      </c>
      <c r="R77" s="24" t="s">
        <v>88</v>
      </c>
      <c r="S77" s="24"/>
      <c r="T77" s="24" t="s">
        <v>139</v>
      </c>
      <c r="U77" s="24" t="s">
        <v>142</v>
      </c>
      <c r="V77" s="24" t="s">
        <v>141</v>
      </c>
      <c r="W77" s="24" t="s">
        <v>139</v>
      </c>
      <c r="X77" s="24" t="s">
        <v>138</v>
      </c>
      <c r="Y77" s="24"/>
      <c r="Z77" s="24" t="s">
        <v>163</v>
      </c>
      <c r="AA77" s="24" t="s">
        <v>164</v>
      </c>
      <c r="AB77" s="24" t="s">
        <v>165</v>
      </c>
      <c r="AC77" s="24" t="s">
        <v>166</v>
      </c>
      <c r="AD77" s="24" t="s">
        <v>167</v>
      </c>
      <c r="AE77" s="24"/>
    </row>
    <row r="78" spans="2:31" ht="12.75">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row>
    <row r="79" spans="2:31" ht="12.75">
      <c r="B79" s="24" t="s">
        <v>94</v>
      </c>
      <c r="C79" s="24" t="s">
        <v>144</v>
      </c>
      <c r="D79" s="24" t="s">
        <v>120</v>
      </c>
      <c r="E79" s="24" t="s">
        <v>147</v>
      </c>
      <c r="F79" s="24" t="s">
        <v>146</v>
      </c>
      <c r="G79" s="24"/>
      <c r="H79" s="24" t="s">
        <v>144</v>
      </c>
      <c r="I79" s="24" t="s">
        <v>146</v>
      </c>
      <c r="J79" s="24" t="s">
        <v>147</v>
      </c>
      <c r="K79" s="24" t="s">
        <v>144</v>
      </c>
      <c r="L79" s="24" t="s">
        <v>94</v>
      </c>
      <c r="M79" s="24"/>
      <c r="N79" s="24" t="s">
        <v>94</v>
      </c>
      <c r="O79" s="24" t="s">
        <v>97</v>
      </c>
      <c r="P79" s="24" t="s">
        <v>96</v>
      </c>
      <c r="Q79" s="24" t="s">
        <v>94</v>
      </c>
      <c r="R79" s="24" t="s">
        <v>93</v>
      </c>
      <c r="S79" s="24"/>
      <c r="T79" s="24" t="s">
        <v>144</v>
      </c>
      <c r="U79" s="24" t="s">
        <v>147</v>
      </c>
      <c r="V79" s="24" t="s">
        <v>146</v>
      </c>
      <c r="W79" s="24" t="s">
        <v>144</v>
      </c>
      <c r="X79" s="24" t="s">
        <v>143</v>
      </c>
      <c r="Y79" s="24"/>
      <c r="Z79" s="24" t="s">
        <v>94</v>
      </c>
      <c r="AA79" s="24" t="s">
        <v>144</v>
      </c>
      <c r="AB79" s="24" t="s">
        <v>120</v>
      </c>
      <c r="AC79" s="24" t="s">
        <v>147</v>
      </c>
      <c r="AD79" s="24" t="s">
        <v>146</v>
      </c>
      <c r="AE79" s="24"/>
    </row>
    <row r="80" spans="2:31" ht="12.75">
      <c r="B80" s="24" t="s">
        <v>99</v>
      </c>
      <c r="C80" s="24" t="s">
        <v>149</v>
      </c>
      <c r="D80" s="24" t="s">
        <v>125</v>
      </c>
      <c r="E80" s="24" t="s">
        <v>152</v>
      </c>
      <c r="F80" s="24" t="s">
        <v>151</v>
      </c>
      <c r="G80" s="24"/>
      <c r="H80" s="24" t="s">
        <v>149</v>
      </c>
      <c r="I80" s="24" t="s">
        <v>151</v>
      </c>
      <c r="J80" s="24" t="s">
        <v>152</v>
      </c>
      <c r="K80" s="24" t="s">
        <v>149</v>
      </c>
      <c r="L80" s="24" t="s">
        <v>99</v>
      </c>
      <c r="M80" s="24"/>
      <c r="N80" s="24" t="s">
        <v>99</v>
      </c>
      <c r="O80" s="24" t="s">
        <v>102</v>
      </c>
      <c r="P80" s="24" t="s">
        <v>101</v>
      </c>
      <c r="Q80" s="24" t="s">
        <v>99</v>
      </c>
      <c r="R80" s="24" t="s">
        <v>98</v>
      </c>
      <c r="S80" s="24"/>
      <c r="T80" s="24" t="s">
        <v>149</v>
      </c>
      <c r="U80" s="24" t="s">
        <v>152</v>
      </c>
      <c r="V80" s="24" t="s">
        <v>151</v>
      </c>
      <c r="W80" s="24" t="s">
        <v>149</v>
      </c>
      <c r="X80" s="24" t="s">
        <v>148</v>
      </c>
      <c r="Y80" s="24"/>
      <c r="Z80" s="24" t="s">
        <v>99</v>
      </c>
      <c r="AA80" s="24" t="s">
        <v>149</v>
      </c>
      <c r="AB80" s="24" t="s">
        <v>125</v>
      </c>
      <c r="AC80" s="24" t="s">
        <v>152</v>
      </c>
      <c r="AD80" s="24" t="s">
        <v>151</v>
      </c>
      <c r="AE80" s="24"/>
    </row>
    <row r="81" spans="2:31" ht="12.75">
      <c r="B81" s="24" t="s">
        <v>104</v>
      </c>
      <c r="C81" s="24" t="s">
        <v>154</v>
      </c>
      <c r="D81" s="24" t="s">
        <v>130</v>
      </c>
      <c r="E81" s="24" t="s">
        <v>157</v>
      </c>
      <c r="F81" s="24" t="s">
        <v>156</v>
      </c>
      <c r="G81" s="24"/>
      <c r="H81" s="24" t="s">
        <v>154</v>
      </c>
      <c r="I81" s="24" t="s">
        <v>156</v>
      </c>
      <c r="J81" s="24" t="s">
        <v>157</v>
      </c>
      <c r="K81" s="24" t="s">
        <v>154</v>
      </c>
      <c r="L81" s="24" t="s">
        <v>104</v>
      </c>
      <c r="M81" s="24"/>
      <c r="N81" s="24" t="s">
        <v>104</v>
      </c>
      <c r="O81" s="24" t="s">
        <v>107</v>
      </c>
      <c r="P81" s="24" t="s">
        <v>106</v>
      </c>
      <c r="Q81" s="24" t="s">
        <v>104</v>
      </c>
      <c r="R81" s="24" t="s">
        <v>103</v>
      </c>
      <c r="S81" s="24"/>
      <c r="T81" s="24" t="s">
        <v>154</v>
      </c>
      <c r="U81" s="24" t="s">
        <v>157</v>
      </c>
      <c r="V81" s="24" t="s">
        <v>156</v>
      </c>
      <c r="W81" s="24" t="s">
        <v>154</v>
      </c>
      <c r="X81" s="24" t="s">
        <v>153</v>
      </c>
      <c r="Y81" s="24"/>
      <c r="Z81" s="24" t="s">
        <v>104</v>
      </c>
      <c r="AA81" s="24" t="s">
        <v>154</v>
      </c>
      <c r="AB81" s="24" t="s">
        <v>130</v>
      </c>
      <c r="AC81" s="24" t="s">
        <v>157</v>
      </c>
      <c r="AD81" s="24" t="s">
        <v>156</v>
      </c>
      <c r="AE81" s="24"/>
    </row>
    <row r="82" spans="2:31" ht="12.75">
      <c r="B82" s="24" t="s">
        <v>109</v>
      </c>
      <c r="C82" s="24" t="s">
        <v>159</v>
      </c>
      <c r="D82" s="24" t="s">
        <v>135</v>
      </c>
      <c r="E82" s="24" t="s">
        <v>162</v>
      </c>
      <c r="F82" s="24" t="s">
        <v>161</v>
      </c>
      <c r="G82" s="24"/>
      <c r="H82" s="24" t="s">
        <v>159</v>
      </c>
      <c r="I82" s="24" t="s">
        <v>161</v>
      </c>
      <c r="J82" s="24" t="s">
        <v>162</v>
      </c>
      <c r="K82" s="24" t="s">
        <v>159</v>
      </c>
      <c r="L82" s="24" t="s">
        <v>109</v>
      </c>
      <c r="M82" s="24"/>
      <c r="N82" s="24" t="s">
        <v>109</v>
      </c>
      <c r="O82" s="24" t="s">
        <v>112</v>
      </c>
      <c r="P82" s="24" t="s">
        <v>111</v>
      </c>
      <c r="Q82" s="24" t="s">
        <v>109</v>
      </c>
      <c r="R82" s="24" t="s">
        <v>108</v>
      </c>
      <c r="S82" s="24"/>
      <c r="T82" s="24" t="s">
        <v>159</v>
      </c>
      <c r="U82" s="24" t="s">
        <v>162</v>
      </c>
      <c r="V82" s="24" t="s">
        <v>161</v>
      </c>
      <c r="W82" s="24" t="s">
        <v>159</v>
      </c>
      <c r="X82" s="24" t="s">
        <v>158</v>
      </c>
      <c r="Y82" s="24"/>
      <c r="Z82" s="24" t="s">
        <v>109</v>
      </c>
      <c r="AA82" s="24" t="s">
        <v>159</v>
      </c>
      <c r="AB82" s="24" t="s">
        <v>135</v>
      </c>
      <c r="AC82" s="24" t="s">
        <v>162</v>
      </c>
      <c r="AD82" s="24" t="s">
        <v>161</v>
      </c>
      <c r="AE82" s="24"/>
    </row>
    <row r="83" spans="2:31" ht="12.75">
      <c r="B83" s="24" t="s">
        <v>114</v>
      </c>
      <c r="C83" s="24" t="s">
        <v>164</v>
      </c>
      <c r="D83" s="24" t="s">
        <v>140</v>
      </c>
      <c r="E83" s="24" t="s">
        <v>167</v>
      </c>
      <c r="F83" s="24" t="s">
        <v>166</v>
      </c>
      <c r="G83" s="24"/>
      <c r="H83" s="24" t="s">
        <v>164</v>
      </c>
      <c r="I83" s="24" t="s">
        <v>166</v>
      </c>
      <c r="J83" s="24" t="s">
        <v>167</v>
      </c>
      <c r="K83" s="24" t="s">
        <v>164</v>
      </c>
      <c r="L83" s="24" t="s">
        <v>114</v>
      </c>
      <c r="M83" s="24"/>
      <c r="N83" s="24" t="s">
        <v>114</v>
      </c>
      <c r="O83" s="24" t="s">
        <v>117</v>
      </c>
      <c r="P83" s="24" t="s">
        <v>116</v>
      </c>
      <c r="Q83" s="24" t="s">
        <v>114</v>
      </c>
      <c r="R83" s="24" t="s">
        <v>113</v>
      </c>
      <c r="S83" s="24"/>
      <c r="T83" s="24" t="s">
        <v>164</v>
      </c>
      <c r="U83" s="24" t="s">
        <v>167</v>
      </c>
      <c r="V83" s="24" t="s">
        <v>166</v>
      </c>
      <c r="W83" s="24" t="s">
        <v>164</v>
      </c>
      <c r="X83" s="24" t="s">
        <v>163</v>
      </c>
      <c r="Y83" s="24"/>
      <c r="Z83" s="24" t="s">
        <v>114</v>
      </c>
      <c r="AA83" s="24" t="s">
        <v>164</v>
      </c>
      <c r="AB83" s="24" t="s">
        <v>140</v>
      </c>
      <c r="AC83" s="24" t="s">
        <v>167</v>
      </c>
      <c r="AD83" s="24" t="s">
        <v>166</v>
      </c>
      <c r="AE83" s="24"/>
    </row>
    <row r="84" spans="2:31" ht="12.75">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row>
    <row r="85" spans="2:31" ht="12.75">
      <c r="B85" s="24" t="s">
        <v>68</v>
      </c>
      <c r="C85" s="24" t="s">
        <v>69</v>
      </c>
      <c r="D85" s="24" t="s">
        <v>70</v>
      </c>
      <c r="E85" s="24" t="s">
        <v>71</v>
      </c>
      <c r="F85" s="24" t="s">
        <v>72</v>
      </c>
      <c r="G85" s="24"/>
      <c r="H85" s="24" t="s">
        <v>69</v>
      </c>
      <c r="I85" s="24" t="s">
        <v>72</v>
      </c>
      <c r="J85" s="24" t="s">
        <v>71</v>
      </c>
      <c r="K85" s="24" t="s">
        <v>69</v>
      </c>
      <c r="L85" s="24" t="s">
        <v>68</v>
      </c>
      <c r="M85" s="24"/>
      <c r="N85" s="24" t="s">
        <v>119</v>
      </c>
      <c r="O85" s="24" t="s">
        <v>122</v>
      </c>
      <c r="P85" s="24" t="s">
        <v>121</v>
      </c>
      <c r="Q85" s="24" t="s">
        <v>119</v>
      </c>
      <c r="R85" s="24" t="s">
        <v>118</v>
      </c>
      <c r="S85" s="24"/>
      <c r="T85" s="24" t="s">
        <v>144</v>
      </c>
      <c r="U85" s="24" t="s">
        <v>146</v>
      </c>
      <c r="V85" s="24" t="s">
        <v>147</v>
      </c>
      <c r="W85" s="24" t="s">
        <v>144</v>
      </c>
      <c r="X85" s="24" t="s">
        <v>94</v>
      </c>
      <c r="Y85" s="24"/>
      <c r="Z85" s="24" t="s">
        <v>68</v>
      </c>
      <c r="AA85" s="24" t="s">
        <v>69</v>
      </c>
      <c r="AB85" s="24" t="s">
        <v>70</v>
      </c>
      <c r="AC85" s="24" t="s">
        <v>71</v>
      </c>
      <c r="AD85" s="24" t="s">
        <v>72</v>
      </c>
      <c r="AE85" s="24"/>
    </row>
    <row r="86" spans="2:31" ht="12.75">
      <c r="B86" s="24" t="s">
        <v>73</v>
      </c>
      <c r="C86" s="24" t="s">
        <v>74</v>
      </c>
      <c r="D86" s="24" t="s">
        <v>75</v>
      </c>
      <c r="E86" s="24" t="s">
        <v>76</v>
      </c>
      <c r="F86" s="24" t="s">
        <v>77</v>
      </c>
      <c r="G86" s="24"/>
      <c r="H86" s="24" t="s">
        <v>74</v>
      </c>
      <c r="I86" s="24" t="s">
        <v>77</v>
      </c>
      <c r="J86" s="24" t="s">
        <v>76</v>
      </c>
      <c r="K86" s="24" t="s">
        <v>74</v>
      </c>
      <c r="L86" s="24" t="s">
        <v>73</v>
      </c>
      <c r="M86" s="24"/>
      <c r="N86" s="24" t="s">
        <v>124</v>
      </c>
      <c r="O86" s="24" t="s">
        <v>127</v>
      </c>
      <c r="P86" s="24" t="s">
        <v>126</v>
      </c>
      <c r="Q86" s="24" t="s">
        <v>124</v>
      </c>
      <c r="R86" s="24" t="s">
        <v>123</v>
      </c>
      <c r="S86" s="24"/>
      <c r="T86" s="24" t="s">
        <v>149</v>
      </c>
      <c r="U86" s="24" t="s">
        <v>151</v>
      </c>
      <c r="V86" s="24" t="s">
        <v>152</v>
      </c>
      <c r="W86" s="24" t="s">
        <v>149</v>
      </c>
      <c r="X86" s="24" t="s">
        <v>99</v>
      </c>
      <c r="Y86" s="24"/>
      <c r="Z86" s="24" t="s">
        <v>73</v>
      </c>
      <c r="AA86" s="24" t="s">
        <v>74</v>
      </c>
      <c r="AB86" s="24" t="s">
        <v>75</v>
      </c>
      <c r="AC86" s="24" t="s">
        <v>76</v>
      </c>
      <c r="AD86" s="24" t="s">
        <v>77</v>
      </c>
      <c r="AE86" s="24"/>
    </row>
    <row r="87" spans="2:31" ht="12.75">
      <c r="B87" s="24" t="s">
        <v>78</v>
      </c>
      <c r="C87" s="24" t="s">
        <v>79</v>
      </c>
      <c r="D87" s="24" t="s">
        <v>80</v>
      </c>
      <c r="E87" s="24" t="s">
        <v>81</v>
      </c>
      <c r="F87" s="24" t="s">
        <v>82</v>
      </c>
      <c r="G87" s="24"/>
      <c r="H87" s="24" t="s">
        <v>79</v>
      </c>
      <c r="I87" s="24" t="s">
        <v>82</v>
      </c>
      <c r="J87" s="24" t="s">
        <v>81</v>
      </c>
      <c r="K87" s="24" t="s">
        <v>79</v>
      </c>
      <c r="L87" s="24" t="s">
        <v>78</v>
      </c>
      <c r="M87" s="24"/>
      <c r="N87" s="24" t="s">
        <v>129</v>
      </c>
      <c r="O87" s="24" t="s">
        <v>132</v>
      </c>
      <c r="P87" s="24" t="s">
        <v>131</v>
      </c>
      <c r="Q87" s="24" t="s">
        <v>129</v>
      </c>
      <c r="R87" s="24" t="s">
        <v>128</v>
      </c>
      <c r="S87" s="24"/>
      <c r="T87" s="24" t="s">
        <v>154</v>
      </c>
      <c r="U87" s="24" t="s">
        <v>156</v>
      </c>
      <c r="V87" s="24" t="s">
        <v>157</v>
      </c>
      <c r="W87" s="24" t="s">
        <v>154</v>
      </c>
      <c r="X87" s="24" t="s">
        <v>104</v>
      </c>
      <c r="Y87" s="24"/>
      <c r="Z87" s="24" t="s">
        <v>78</v>
      </c>
      <c r="AA87" s="24" t="s">
        <v>79</v>
      </c>
      <c r="AB87" s="24" t="s">
        <v>80</v>
      </c>
      <c r="AC87" s="24" t="s">
        <v>81</v>
      </c>
      <c r="AD87" s="24" t="s">
        <v>82</v>
      </c>
      <c r="AE87" s="24"/>
    </row>
    <row r="88" spans="2:31" ht="12.75">
      <c r="B88" s="24" t="s">
        <v>83</v>
      </c>
      <c r="C88" s="24" t="s">
        <v>84</v>
      </c>
      <c r="D88" s="24" t="s">
        <v>85</v>
      </c>
      <c r="E88" s="24" t="s">
        <v>86</v>
      </c>
      <c r="F88" s="24" t="s">
        <v>87</v>
      </c>
      <c r="G88" s="24"/>
      <c r="H88" s="24" t="s">
        <v>84</v>
      </c>
      <c r="I88" s="24" t="s">
        <v>87</v>
      </c>
      <c r="J88" s="24" t="s">
        <v>86</v>
      </c>
      <c r="K88" s="24" t="s">
        <v>84</v>
      </c>
      <c r="L88" s="24" t="s">
        <v>83</v>
      </c>
      <c r="M88" s="24"/>
      <c r="N88" s="24" t="s">
        <v>134</v>
      </c>
      <c r="O88" s="24" t="s">
        <v>137</v>
      </c>
      <c r="P88" s="24" t="s">
        <v>136</v>
      </c>
      <c r="Q88" s="24" t="s">
        <v>134</v>
      </c>
      <c r="R88" s="24" t="s">
        <v>133</v>
      </c>
      <c r="S88" s="24"/>
      <c r="T88" s="24" t="s">
        <v>159</v>
      </c>
      <c r="U88" s="24" t="s">
        <v>161</v>
      </c>
      <c r="V88" s="24" t="s">
        <v>162</v>
      </c>
      <c r="W88" s="24" t="s">
        <v>159</v>
      </c>
      <c r="X88" s="24" t="s">
        <v>109</v>
      </c>
      <c r="Y88" s="24"/>
      <c r="Z88" s="24" t="s">
        <v>83</v>
      </c>
      <c r="AA88" s="24" t="s">
        <v>84</v>
      </c>
      <c r="AB88" s="24" t="s">
        <v>85</v>
      </c>
      <c r="AC88" s="24" t="s">
        <v>86</v>
      </c>
      <c r="AD88" s="24" t="s">
        <v>87</v>
      </c>
      <c r="AE88" s="24"/>
    </row>
    <row r="89" spans="2:31" ht="12.75">
      <c r="B89" s="24" t="s">
        <v>88</v>
      </c>
      <c r="C89" s="24" t="s">
        <v>89</v>
      </c>
      <c r="D89" s="24" t="s">
        <v>90</v>
      </c>
      <c r="E89" s="24" t="s">
        <v>91</v>
      </c>
      <c r="F89" s="24" t="s">
        <v>92</v>
      </c>
      <c r="G89" s="24"/>
      <c r="H89" s="24" t="s">
        <v>89</v>
      </c>
      <c r="I89" s="24" t="s">
        <v>92</v>
      </c>
      <c r="J89" s="24" t="s">
        <v>91</v>
      </c>
      <c r="K89" s="24" t="s">
        <v>89</v>
      </c>
      <c r="L89" s="24" t="s">
        <v>88</v>
      </c>
      <c r="M89" s="24"/>
      <c r="N89" s="24" t="s">
        <v>139</v>
      </c>
      <c r="O89" s="24" t="s">
        <v>142</v>
      </c>
      <c r="P89" s="24" t="s">
        <v>141</v>
      </c>
      <c r="Q89" s="24" t="s">
        <v>139</v>
      </c>
      <c r="R89" s="24" t="s">
        <v>138</v>
      </c>
      <c r="S89" s="24"/>
      <c r="T89" s="24" t="s">
        <v>164</v>
      </c>
      <c r="U89" s="24" t="s">
        <v>166</v>
      </c>
      <c r="V89" s="24" t="s">
        <v>167</v>
      </c>
      <c r="W89" s="24" t="s">
        <v>164</v>
      </c>
      <c r="X89" s="24" t="s">
        <v>114</v>
      </c>
      <c r="Y89" s="24"/>
      <c r="Z89" s="24" t="s">
        <v>88</v>
      </c>
      <c r="AA89" s="24" t="s">
        <v>89</v>
      </c>
      <c r="AB89" s="24" t="s">
        <v>90</v>
      </c>
      <c r="AC89" s="24" t="s">
        <v>91</v>
      </c>
      <c r="AD89" s="24" t="s">
        <v>92</v>
      </c>
      <c r="AE89" s="24"/>
    </row>
    <row r="90" spans="2:31" ht="12.75">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row>
    <row r="91" spans="2:31" ht="12.75">
      <c r="B91" s="24" t="s">
        <v>93</v>
      </c>
      <c r="C91" s="24" t="s">
        <v>94</v>
      </c>
      <c r="D91" s="24" t="s">
        <v>95</v>
      </c>
      <c r="E91" s="24" t="s">
        <v>96</v>
      </c>
      <c r="F91" s="24" t="s">
        <v>97</v>
      </c>
      <c r="G91" s="24"/>
      <c r="H91" s="24" t="s">
        <v>94</v>
      </c>
      <c r="I91" s="24" t="s">
        <v>97</v>
      </c>
      <c r="J91" s="24" t="s">
        <v>96</v>
      </c>
      <c r="K91" s="24" t="s">
        <v>94</v>
      </c>
      <c r="L91" s="24" t="s">
        <v>93</v>
      </c>
      <c r="M91" s="24"/>
      <c r="N91" s="24" t="s">
        <v>144</v>
      </c>
      <c r="O91" s="24" t="s">
        <v>147</v>
      </c>
      <c r="P91" s="24" t="s">
        <v>146</v>
      </c>
      <c r="Q91" s="24" t="s">
        <v>144</v>
      </c>
      <c r="R91" s="24" t="s">
        <v>143</v>
      </c>
      <c r="S91" s="24"/>
      <c r="T91" s="24" t="s">
        <v>69</v>
      </c>
      <c r="U91" s="24" t="s">
        <v>72</v>
      </c>
      <c r="V91" s="24" t="s">
        <v>71</v>
      </c>
      <c r="W91" s="24" t="s">
        <v>69</v>
      </c>
      <c r="X91" s="24" t="s">
        <v>68</v>
      </c>
      <c r="Y91" s="24"/>
      <c r="Z91" s="24" t="s">
        <v>93</v>
      </c>
      <c r="AA91" s="24" t="s">
        <v>94</v>
      </c>
      <c r="AB91" s="24" t="s">
        <v>95</v>
      </c>
      <c r="AC91" s="24" t="s">
        <v>96</v>
      </c>
      <c r="AD91" s="24" t="s">
        <v>97</v>
      </c>
      <c r="AE91" s="24"/>
    </row>
    <row r="92" spans="2:31" ht="12.75">
      <c r="B92" s="24" t="s">
        <v>98</v>
      </c>
      <c r="C92" s="24" t="s">
        <v>99</v>
      </c>
      <c r="D92" s="24" t="s">
        <v>100</v>
      </c>
      <c r="E92" s="24" t="s">
        <v>101</v>
      </c>
      <c r="F92" s="24" t="s">
        <v>102</v>
      </c>
      <c r="G92" s="24"/>
      <c r="H92" s="24" t="s">
        <v>99</v>
      </c>
      <c r="I92" s="24" t="s">
        <v>102</v>
      </c>
      <c r="J92" s="24" t="s">
        <v>101</v>
      </c>
      <c r="K92" s="24" t="s">
        <v>99</v>
      </c>
      <c r="L92" s="24" t="s">
        <v>98</v>
      </c>
      <c r="M92" s="24"/>
      <c r="N92" s="24" t="s">
        <v>149</v>
      </c>
      <c r="O92" s="24" t="s">
        <v>152</v>
      </c>
      <c r="P92" s="24" t="s">
        <v>151</v>
      </c>
      <c r="Q92" s="24" t="s">
        <v>149</v>
      </c>
      <c r="R92" s="24" t="s">
        <v>148</v>
      </c>
      <c r="S92" s="24"/>
      <c r="T92" s="24" t="s">
        <v>74</v>
      </c>
      <c r="U92" s="24" t="s">
        <v>77</v>
      </c>
      <c r="V92" s="24" t="s">
        <v>76</v>
      </c>
      <c r="W92" s="24" t="s">
        <v>74</v>
      </c>
      <c r="X92" s="24" t="s">
        <v>73</v>
      </c>
      <c r="Y92" s="24"/>
      <c r="Z92" s="24" t="s">
        <v>98</v>
      </c>
      <c r="AA92" s="24" t="s">
        <v>99</v>
      </c>
      <c r="AB92" s="24" t="s">
        <v>100</v>
      </c>
      <c r="AC92" s="24" t="s">
        <v>101</v>
      </c>
      <c r="AD92" s="24" t="s">
        <v>102</v>
      </c>
      <c r="AE92" s="24"/>
    </row>
    <row r="93" spans="2:31" ht="12.75">
      <c r="B93" s="24" t="s">
        <v>103</v>
      </c>
      <c r="C93" s="24" t="s">
        <v>104</v>
      </c>
      <c r="D93" s="24" t="s">
        <v>105</v>
      </c>
      <c r="E93" s="24" t="s">
        <v>106</v>
      </c>
      <c r="F93" s="24" t="s">
        <v>107</v>
      </c>
      <c r="G93" s="24"/>
      <c r="H93" s="24" t="s">
        <v>104</v>
      </c>
      <c r="I93" s="24" t="s">
        <v>107</v>
      </c>
      <c r="J93" s="24" t="s">
        <v>106</v>
      </c>
      <c r="K93" s="24" t="s">
        <v>104</v>
      </c>
      <c r="L93" s="24" t="s">
        <v>103</v>
      </c>
      <c r="M93" s="24"/>
      <c r="N93" s="24" t="s">
        <v>154</v>
      </c>
      <c r="O93" s="24" t="s">
        <v>157</v>
      </c>
      <c r="P93" s="24" t="s">
        <v>156</v>
      </c>
      <c r="Q93" s="24" t="s">
        <v>154</v>
      </c>
      <c r="R93" s="24" t="s">
        <v>153</v>
      </c>
      <c r="S93" s="24"/>
      <c r="T93" s="24" t="s">
        <v>79</v>
      </c>
      <c r="U93" s="24" t="s">
        <v>82</v>
      </c>
      <c r="V93" s="24" t="s">
        <v>81</v>
      </c>
      <c r="W93" s="24" t="s">
        <v>79</v>
      </c>
      <c r="X93" s="24" t="s">
        <v>78</v>
      </c>
      <c r="Y93" s="24"/>
      <c r="Z93" s="24" t="s">
        <v>103</v>
      </c>
      <c r="AA93" s="24" t="s">
        <v>104</v>
      </c>
      <c r="AB93" s="24" t="s">
        <v>105</v>
      </c>
      <c r="AC93" s="24" t="s">
        <v>106</v>
      </c>
      <c r="AD93" s="24" t="s">
        <v>107</v>
      </c>
      <c r="AE93" s="24"/>
    </row>
    <row r="94" spans="2:31" ht="12.75">
      <c r="B94" s="24" t="s">
        <v>108</v>
      </c>
      <c r="C94" s="24" t="s">
        <v>109</v>
      </c>
      <c r="D94" s="24" t="s">
        <v>110</v>
      </c>
      <c r="E94" s="24" t="s">
        <v>111</v>
      </c>
      <c r="F94" s="24" t="s">
        <v>112</v>
      </c>
      <c r="G94" s="24"/>
      <c r="H94" s="24" t="s">
        <v>109</v>
      </c>
      <c r="I94" s="24" t="s">
        <v>112</v>
      </c>
      <c r="J94" s="24" t="s">
        <v>111</v>
      </c>
      <c r="K94" s="24" t="s">
        <v>109</v>
      </c>
      <c r="L94" s="24" t="s">
        <v>108</v>
      </c>
      <c r="M94" s="24"/>
      <c r="N94" s="24" t="s">
        <v>159</v>
      </c>
      <c r="O94" s="24" t="s">
        <v>162</v>
      </c>
      <c r="P94" s="24" t="s">
        <v>161</v>
      </c>
      <c r="Q94" s="24" t="s">
        <v>159</v>
      </c>
      <c r="R94" s="24" t="s">
        <v>158</v>
      </c>
      <c r="S94" s="24"/>
      <c r="T94" s="24" t="s">
        <v>84</v>
      </c>
      <c r="U94" s="24" t="s">
        <v>87</v>
      </c>
      <c r="V94" s="24" t="s">
        <v>86</v>
      </c>
      <c r="W94" s="24" t="s">
        <v>84</v>
      </c>
      <c r="X94" s="24" t="s">
        <v>83</v>
      </c>
      <c r="Y94" s="24"/>
      <c r="Z94" s="24" t="s">
        <v>108</v>
      </c>
      <c r="AA94" s="24" t="s">
        <v>109</v>
      </c>
      <c r="AB94" s="24" t="s">
        <v>110</v>
      </c>
      <c r="AC94" s="24" t="s">
        <v>111</v>
      </c>
      <c r="AD94" s="24" t="s">
        <v>112</v>
      </c>
      <c r="AE94" s="24"/>
    </row>
    <row r="95" spans="2:31" ht="12.75">
      <c r="B95" s="24" t="s">
        <v>113</v>
      </c>
      <c r="C95" s="24" t="s">
        <v>114</v>
      </c>
      <c r="D95" s="24" t="s">
        <v>115</v>
      </c>
      <c r="E95" s="24" t="s">
        <v>116</v>
      </c>
      <c r="F95" s="24" t="s">
        <v>117</v>
      </c>
      <c r="G95" s="24"/>
      <c r="H95" s="24" t="s">
        <v>114</v>
      </c>
      <c r="I95" s="24" t="s">
        <v>117</v>
      </c>
      <c r="J95" s="24" t="s">
        <v>116</v>
      </c>
      <c r="K95" s="24" t="s">
        <v>114</v>
      </c>
      <c r="L95" s="24" t="s">
        <v>113</v>
      </c>
      <c r="M95" s="24"/>
      <c r="N95" s="24" t="s">
        <v>164</v>
      </c>
      <c r="O95" s="24" t="s">
        <v>167</v>
      </c>
      <c r="P95" s="24" t="s">
        <v>166</v>
      </c>
      <c r="Q95" s="24" t="s">
        <v>164</v>
      </c>
      <c r="R95" s="24" t="s">
        <v>163</v>
      </c>
      <c r="S95" s="24"/>
      <c r="T95" s="24" t="s">
        <v>89</v>
      </c>
      <c r="U95" s="24" t="s">
        <v>92</v>
      </c>
      <c r="V95" s="24" t="s">
        <v>91</v>
      </c>
      <c r="W95" s="24" t="s">
        <v>89</v>
      </c>
      <c r="X95" s="24" t="s">
        <v>88</v>
      </c>
      <c r="Y95" s="24"/>
      <c r="Z95" s="24" t="s">
        <v>113</v>
      </c>
      <c r="AA95" s="24" t="s">
        <v>114</v>
      </c>
      <c r="AB95" s="24" t="s">
        <v>115</v>
      </c>
      <c r="AC95" s="24" t="s">
        <v>116</v>
      </c>
      <c r="AD95" s="24" t="s">
        <v>117</v>
      </c>
      <c r="AE95" s="24"/>
    </row>
    <row r="96" spans="2:31" ht="12.75">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row>
    <row r="97" spans="2:31" ht="12.75">
      <c r="B97" s="24" t="s">
        <v>118</v>
      </c>
      <c r="C97" s="24" t="s">
        <v>119</v>
      </c>
      <c r="D97" s="24" t="s">
        <v>120</v>
      </c>
      <c r="E97" s="24" t="s">
        <v>121</v>
      </c>
      <c r="F97" s="24" t="s">
        <v>122</v>
      </c>
      <c r="G97" s="24"/>
      <c r="H97" s="24" t="s">
        <v>119</v>
      </c>
      <c r="I97" s="24" t="s">
        <v>122</v>
      </c>
      <c r="J97" s="24" t="s">
        <v>121</v>
      </c>
      <c r="K97" s="24" t="s">
        <v>119</v>
      </c>
      <c r="L97" s="24" t="s">
        <v>118</v>
      </c>
      <c r="M97" s="24"/>
      <c r="N97" s="24" t="s">
        <v>144</v>
      </c>
      <c r="O97" s="24" t="s">
        <v>146</v>
      </c>
      <c r="P97" s="24" t="s">
        <v>147</v>
      </c>
      <c r="Q97" s="24" t="s">
        <v>144</v>
      </c>
      <c r="R97" s="24" t="s">
        <v>94</v>
      </c>
      <c r="S97" s="24"/>
      <c r="T97" s="24" t="s">
        <v>94</v>
      </c>
      <c r="U97" s="24" t="s">
        <v>97</v>
      </c>
      <c r="V97" s="24" t="s">
        <v>96</v>
      </c>
      <c r="W97" s="24" t="s">
        <v>94</v>
      </c>
      <c r="X97" s="24" t="s">
        <v>93</v>
      </c>
      <c r="Y97" s="24"/>
      <c r="Z97" s="24" t="s">
        <v>118</v>
      </c>
      <c r="AA97" s="24" t="s">
        <v>119</v>
      </c>
      <c r="AB97" s="24" t="s">
        <v>120</v>
      </c>
      <c r="AC97" s="24" t="s">
        <v>121</v>
      </c>
      <c r="AD97" s="24" t="s">
        <v>122</v>
      </c>
      <c r="AE97" s="24"/>
    </row>
    <row r="98" spans="2:31" ht="12.75">
      <c r="B98" s="24" t="s">
        <v>123</v>
      </c>
      <c r="C98" s="24" t="s">
        <v>124</v>
      </c>
      <c r="D98" s="24" t="s">
        <v>125</v>
      </c>
      <c r="E98" s="24" t="s">
        <v>126</v>
      </c>
      <c r="F98" s="24" t="s">
        <v>127</v>
      </c>
      <c r="G98" s="24"/>
      <c r="H98" s="24" t="s">
        <v>124</v>
      </c>
      <c r="I98" s="24" t="s">
        <v>127</v>
      </c>
      <c r="J98" s="24" t="s">
        <v>126</v>
      </c>
      <c r="K98" s="24" t="s">
        <v>124</v>
      </c>
      <c r="L98" s="24" t="s">
        <v>123</v>
      </c>
      <c r="M98" s="24"/>
      <c r="N98" s="24" t="s">
        <v>149</v>
      </c>
      <c r="O98" s="24" t="s">
        <v>151</v>
      </c>
      <c r="P98" s="24" t="s">
        <v>152</v>
      </c>
      <c r="Q98" s="24" t="s">
        <v>149</v>
      </c>
      <c r="R98" s="24" t="s">
        <v>99</v>
      </c>
      <c r="S98" s="24"/>
      <c r="T98" s="24" t="s">
        <v>99</v>
      </c>
      <c r="U98" s="24" t="s">
        <v>102</v>
      </c>
      <c r="V98" s="24" t="s">
        <v>101</v>
      </c>
      <c r="W98" s="24" t="s">
        <v>99</v>
      </c>
      <c r="X98" s="24" t="s">
        <v>98</v>
      </c>
      <c r="Y98" s="24"/>
      <c r="Z98" s="24" t="s">
        <v>123</v>
      </c>
      <c r="AA98" s="24" t="s">
        <v>124</v>
      </c>
      <c r="AB98" s="24" t="s">
        <v>125</v>
      </c>
      <c r="AC98" s="24" t="s">
        <v>126</v>
      </c>
      <c r="AD98" s="24" t="s">
        <v>127</v>
      </c>
      <c r="AE98" s="24"/>
    </row>
    <row r="99" spans="2:31" ht="12.75">
      <c r="B99" s="24" t="s">
        <v>128</v>
      </c>
      <c r="C99" s="24" t="s">
        <v>129</v>
      </c>
      <c r="D99" s="24" t="s">
        <v>130</v>
      </c>
      <c r="E99" s="24" t="s">
        <v>131</v>
      </c>
      <c r="F99" s="24" t="s">
        <v>132</v>
      </c>
      <c r="G99" s="24"/>
      <c r="H99" s="24" t="s">
        <v>129</v>
      </c>
      <c r="I99" s="24" t="s">
        <v>132</v>
      </c>
      <c r="J99" s="24" t="s">
        <v>131</v>
      </c>
      <c r="K99" s="24" t="s">
        <v>129</v>
      </c>
      <c r="L99" s="24" t="s">
        <v>128</v>
      </c>
      <c r="M99" s="24"/>
      <c r="N99" s="24" t="s">
        <v>154</v>
      </c>
      <c r="O99" s="24" t="s">
        <v>156</v>
      </c>
      <c r="P99" s="24" t="s">
        <v>157</v>
      </c>
      <c r="Q99" s="24" t="s">
        <v>154</v>
      </c>
      <c r="R99" s="24" t="s">
        <v>104</v>
      </c>
      <c r="S99" s="24"/>
      <c r="T99" s="24" t="s">
        <v>104</v>
      </c>
      <c r="U99" s="24" t="s">
        <v>107</v>
      </c>
      <c r="V99" s="24" t="s">
        <v>106</v>
      </c>
      <c r="W99" s="24" t="s">
        <v>104</v>
      </c>
      <c r="X99" s="24" t="s">
        <v>103</v>
      </c>
      <c r="Y99" s="24"/>
      <c r="Z99" s="24" t="s">
        <v>128</v>
      </c>
      <c r="AA99" s="24" t="s">
        <v>129</v>
      </c>
      <c r="AB99" s="24" t="s">
        <v>130</v>
      </c>
      <c r="AC99" s="24" t="s">
        <v>131</v>
      </c>
      <c r="AD99" s="24" t="s">
        <v>132</v>
      </c>
      <c r="AE99" s="24"/>
    </row>
    <row r="100" spans="2:31" ht="12.75">
      <c r="B100" s="24" t="s">
        <v>133</v>
      </c>
      <c r="C100" s="24" t="s">
        <v>134</v>
      </c>
      <c r="D100" s="24" t="s">
        <v>135</v>
      </c>
      <c r="E100" s="24" t="s">
        <v>136</v>
      </c>
      <c r="F100" s="24" t="s">
        <v>137</v>
      </c>
      <c r="G100" s="24"/>
      <c r="H100" s="24" t="s">
        <v>134</v>
      </c>
      <c r="I100" s="24" t="s">
        <v>137</v>
      </c>
      <c r="J100" s="24" t="s">
        <v>136</v>
      </c>
      <c r="K100" s="24" t="s">
        <v>134</v>
      </c>
      <c r="L100" s="24" t="s">
        <v>133</v>
      </c>
      <c r="M100" s="24"/>
      <c r="N100" s="24" t="s">
        <v>159</v>
      </c>
      <c r="O100" s="24" t="s">
        <v>161</v>
      </c>
      <c r="P100" s="24" t="s">
        <v>162</v>
      </c>
      <c r="Q100" s="24" t="s">
        <v>159</v>
      </c>
      <c r="R100" s="24" t="s">
        <v>109</v>
      </c>
      <c r="S100" s="24"/>
      <c r="T100" s="24" t="s">
        <v>109</v>
      </c>
      <c r="U100" s="24" t="s">
        <v>112</v>
      </c>
      <c r="V100" s="24" t="s">
        <v>111</v>
      </c>
      <c r="W100" s="24" t="s">
        <v>109</v>
      </c>
      <c r="X100" s="24" t="s">
        <v>108</v>
      </c>
      <c r="Y100" s="24"/>
      <c r="Z100" s="24" t="s">
        <v>133</v>
      </c>
      <c r="AA100" s="24" t="s">
        <v>134</v>
      </c>
      <c r="AB100" s="24" t="s">
        <v>135</v>
      </c>
      <c r="AC100" s="24" t="s">
        <v>136</v>
      </c>
      <c r="AD100" s="24" t="s">
        <v>137</v>
      </c>
      <c r="AE100" s="24"/>
    </row>
    <row r="101" spans="2:31" ht="12.75">
      <c r="B101" s="24" t="s">
        <v>138</v>
      </c>
      <c r="C101" s="24" t="s">
        <v>139</v>
      </c>
      <c r="D101" s="24" t="s">
        <v>140</v>
      </c>
      <c r="E101" s="24" t="s">
        <v>141</v>
      </c>
      <c r="F101" s="24" t="s">
        <v>142</v>
      </c>
      <c r="G101" s="24"/>
      <c r="H101" s="24" t="s">
        <v>139</v>
      </c>
      <c r="I101" s="24" t="s">
        <v>142</v>
      </c>
      <c r="J101" s="24" t="s">
        <v>141</v>
      </c>
      <c r="K101" s="24" t="s">
        <v>139</v>
      </c>
      <c r="L101" s="24" t="s">
        <v>138</v>
      </c>
      <c r="M101" s="24"/>
      <c r="N101" s="24" t="s">
        <v>164</v>
      </c>
      <c r="O101" s="24" t="s">
        <v>166</v>
      </c>
      <c r="P101" s="24" t="s">
        <v>167</v>
      </c>
      <c r="Q101" s="24" t="s">
        <v>164</v>
      </c>
      <c r="R101" s="24" t="s">
        <v>114</v>
      </c>
      <c r="S101" s="24"/>
      <c r="T101" s="24" t="s">
        <v>114</v>
      </c>
      <c r="U101" s="24" t="s">
        <v>117</v>
      </c>
      <c r="V101" s="24" t="s">
        <v>116</v>
      </c>
      <c r="W101" s="24" t="s">
        <v>114</v>
      </c>
      <c r="X101" s="24" t="s">
        <v>113</v>
      </c>
      <c r="Y101" s="24"/>
      <c r="Z101" s="24" t="s">
        <v>138</v>
      </c>
      <c r="AA101" s="24" t="s">
        <v>139</v>
      </c>
      <c r="AB101" s="24" t="s">
        <v>140</v>
      </c>
      <c r="AC101" s="24" t="s">
        <v>141</v>
      </c>
      <c r="AD101" s="24" t="s">
        <v>142</v>
      </c>
      <c r="AE101" s="24"/>
    </row>
    <row r="102" spans="2:31" ht="12.75">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row>
    <row r="103" spans="2:31" ht="12.75">
      <c r="B103" s="24" t="s">
        <v>143</v>
      </c>
      <c r="C103" s="24" t="s">
        <v>144</v>
      </c>
      <c r="D103" s="24" t="s">
        <v>145</v>
      </c>
      <c r="E103" s="24" t="s">
        <v>146</v>
      </c>
      <c r="F103" s="24" t="s">
        <v>147</v>
      </c>
      <c r="G103" s="24"/>
      <c r="H103" s="24" t="s">
        <v>144</v>
      </c>
      <c r="I103" s="24" t="s">
        <v>147</v>
      </c>
      <c r="J103" s="24" t="s">
        <v>146</v>
      </c>
      <c r="K103" s="24" t="s">
        <v>144</v>
      </c>
      <c r="L103" s="24" t="s">
        <v>143</v>
      </c>
      <c r="M103" s="24"/>
      <c r="N103" s="24" t="s">
        <v>69</v>
      </c>
      <c r="O103" s="24" t="s">
        <v>72</v>
      </c>
      <c r="P103" s="24" t="s">
        <v>71</v>
      </c>
      <c r="Q103" s="24" t="s">
        <v>69</v>
      </c>
      <c r="R103" s="24" t="s">
        <v>68</v>
      </c>
      <c r="S103" s="24"/>
      <c r="T103" s="24" t="s">
        <v>119</v>
      </c>
      <c r="U103" s="24" t="s">
        <v>122</v>
      </c>
      <c r="V103" s="24" t="s">
        <v>121</v>
      </c>
      <c r="W103" s="24" t="s">
        <v>119</v>
      </c>
      <c r="X103" s="24" t="s">
        <v>118</v>
      </c>
      <c r="Y103" s="24"/>
      <c r="Z103" s="24" t="s">
        <v>143</v>
      </c>
      <c r="AA103" s="24" t="s">
        <v>144</v>
      </c>
      <c r="AB103" s="24" t="s">
        <v>145</v>
      </c>
      <c r="AC103" s="24" t="s">
        <v>146</v>
      </c>
      <c r="AD103" s="24" t="s">
        <v>147</v>
      </c>
      <c r="AE103" s="24"/>
    </row>
    <row r="104" spans="2:31" ht="12.75">
      <c r="B104" s="24" t="s">
        <v>148</v>
      </c>
      <c r="C104" s="24" t="s">
        <v>149</v>
      </c>
      <c r="D104" s="24" t="s">
        <v>150</v>
      </c>
      <c r="E104" s="24" t="s">
        <v>151</v>
      </c>
      <c r="F104" s="24" t="s">
        <v>152</v>
      </c>
      <c r="G104" s="24"/>
      <c r="H104" s="24" t="s">
        <v>149</v>
      </c>
      <c r="I104" s="24" t="s">
        <v>152</v>
      </c>
      <c r="J104" s="24" t="s">
        <v>151</v>
      </c>
      <c r="K104" s="24" t="s">
        <v>149</v>
      </c>
      <c r="L104" s="24" t="s">
        <v>148</v>
      </c>
      <c r="M104" s="24"/>
      <c r="N104" s="24" t="s">
        <v>74</v>
      </c>
      <c r="O104" s="24" t="s">
        <v>77</v>
      </c>
      <c r="P104" s="24" t="s">
        <v>76</v>
      </c>
      <c r="Q104" s="24" t="s">
        <v>74</v>
      </c>
      <c r="R104" s="24" t="s">
        <v>73</v>
      </c>
      <c r="S104" s="24"/>
      <c r="T104" s="24" t="s">
        <v>124</v>
      </c>
      <c r="U104" s="24" t="s">
        <v>127</v>
      </c>
      <c r="V104" s="24" t="s">
        <v>126</v>
      </c>
      <c r="W104" s="24" t="s">
        <v>124</v>
      </c>
      <c r="X104" s="24" t="s">
        <v>123</v>
      </c>
      <c r="Y104" s="24"/>
      <c r="Z104" s="24" t="s">
        <v>148</v>
      </c>
      <c r="AA104" s="24" t="s">
        <v>149</v>
      </c>
      <c r="AB104" s="24" t="s">
        <v>150</v>
      </c>
      <c r="AC104" s="24" t="s">
        <v>151</v>
      </c>
      <c r="AD104" s="24" t="s">
        <v>152</v>
      </c>
      <c r="AE104" s="24"/>
    </row>
    <row r="105" spans="2:31" ht="12.75">
      <c r="B105" s="24" t="s">
        <v>153</v>
      </c>
      <c r="C105" s="24" t="s">
        <v>154</v>
      </c>
      <c r="D105" s="24" t="s">
        <v>155</v>
      </c>
      <c r="E105" s="24" t="s">
        <v>156</v>
      </c>
      <c r="F105" s="24" t="s">
        <v>157</v>
      </c>
      <c r="G105" s="24"/>
      <c r="H105" s="24" t="s">
        <v>154</v>
      </c>
      <c r="I105" s="24" t="s">
        <v>157</v>
      </c>
      <c r="J105" s="24" t="s">
        <v>156</v>
      </c>
      <c r="K105" s="24" t="s">
        <v>154</v>
      </c>
      <c r="L105" s="24" t="s">
        <v>153</v>
      </c>
      <c r="M105" s="24"/>
      <c r="N105" s="24" t="s">
        <v>79</v>
      </c>
      <c r="O105" s="24" t="s">
        <v>82</v>
      </c>
      <c r="P105" s="24" t="s">
        <v>81</v>
      </c>
      <c r="Q105" s="24" t="s">
        <v>79</v>
      </c>
      <c r="R105" s="24" t="s">
        <v>78</v>
      </c>
      <c r="S105" s="24"/>
      <c r="T105" s="24" t="s">
        <v>129</v>
      </c>
      <c r="U105" s="24" t="s">
        <v>132</v>
      </c>
      <c r="V105" s="24" t="s">
        <v>131</v>
      </c>
      <c r="W105" s="24" t="s">
        <v>129</v>
      </c>
      <c r="X105" s="24" t="s">
        <v>128</v>
      </c>
      <c r="Y105" s="24"/>
      <c r="Z105" s="24" t="s">
        <v>153</v>
      </c>
      <c r="AA105" s="24" t="s">
        <v>154</v>
      </c>
      <c r="AB105" s="24" t="s">
        <v>155</v>
      </c>
      <c r="AC105" s="24" t="s">
        <v>156</v>
      </c>
      <c r="AD105" s="24" t="s">
        <v>157</v>
      </c>
      <c r="AE105" s="24"/>
    </row>
    <row r="106" spans="2:31" ht="12.75">
      <c r="B106" s="24" t="s">
        <v>158</v>
      </c>
      <c r="C106" s="24" t="s">
        <v>159</v>
      </c>
      <c r="D106" s="24" t="s">
        <v>160</v>
      </c>
      <c r="E106" s="24" t="s">
        <v>161</v>
      </c>
      <c r="F106" s="24" t="s">
        <v>162</v>
      </c>
      <c r="G106" s="24"/>
      <c r="H106" s="24" t="s">
        <v>159</v>
      </c>
      <c r="I106" s="24" t="s">
        <v>162</v>
      </c>
      <c r="J106" s="24" t="s">
        <v>161</v>
      </c>
      <c r="K106" s="24" t="s">
        <v>159</v>
      </c>
      <c r="L106" s="24" t="s">
        <v>158</v>
      </c>
      <c r="M106" s="24"/>
      <c r="N106" s="24" t="s">
        <v>84</v>
      </c>
      <c r="O106" s="24" t="s">
        <v>87</v>
      </c>
      <c r="P106" s="24" t="s">
        <v>86</v>
      </c>
      <c r="Q106" s="24" t="s">
        <v>84</v>
      </c>
      <c r="R106" s="24" t="s">
        <v>83</v>
      </c>
      <c r="S106" s="24"/>
      <c r="T106" s="24" t="s">
        <v>134</v>
      </c>
      <c r="U106" s="24" t="s">
        <v>137</v>
      </c>
      <c r="V106" s="24" t="s">
        <v>136</v>
      </c>
      <c r="W106" s="24" t="s">
        <v>134</v>
      </c>
      <c r="X106" s="24" t="s">
        <v>133</v>
      </c>
      <c r="Y106" s="24"/>
      <c r="Z106" s="24" t="s">
        <v>158</v>
      </c>
      <c r="AA106" s="24" t="s">
        <v>159</v>
      </c>
      <c r="AB106" s="24" t="s">
        <v>160</v>
      </c>
      <c r="AC106" s="24" t="s">
        <v>161</v>
      </c>
      <c r="AD106" s="24" t="s">
        <v>162</v>
      </c>
      <c r="AE106" s="24"/>
    </row>
    <row r="107" spans="2:31" ht="12.75">
      <c r="B107" s="24" t="s">
        <v>163</v>
      </c>
      <c r="C107" s="24" t="s">
        <v>164</v>
      </c>
      <c r="D107" s="24" t="s">
        <v>165</v>
      </c>
      <c r="E107" s="24" t="s">
        <v>166</v>
      </c>
      <c r="F107" s="24" t="s">
        <v>167</v>
      </c>
      <c r="G107" s="24"/>
      <c r="H107" s="24" t="s">
        <v>164</v>
      </c>
      <c r="I107" s="24" t="s">
        <v>167</v>
      </c>
      <c r="J107" s="24" t="s">
        <v>166</v>
      </c>
      <c r="K107" s="24" t="s">
        <v>164</v>
      </c>
      <c r="L107" s="24" t="s">
        <v>163</v>
      </c>
      <c r="M107" s="24"/>
      <c r="N107" s="24" t="s">
        <v>89</v>
      </c>
      <c r="O107" s="24" t="s">
        <v>92</v>
      </c>
      <c r="P107" s="24" t="s">
        <v>91</v>
      </c>
      <c r="Q107" s="24" t="s">
        <v>89</v>
      </c>
      <c r="R107" s="24" t="s">
        <v>88</v>
      </c>
      <c r="S107" s="24"/>
      <c r="T107" s="24" t="s">
        <v>139</v>
      </c>
      <c r="U107" s="24" t="s">
        <v>142</v>
      </c>
      <c r="V107" s="24" t="s">
        <v>141</v>
      </c>
      <c r="W107" s="24" t="s">
        <v>139</v>
      </c>
      <c r="X107" s="24" t="s">
        <v>138</v>
      </c>
      <c r="Y107" s="24"/>
      <c r="Z107" s="24" t="s">
        <v>163</v>
      </c>
      <c r="AA107" s="24" t="s">
        <v>164</v>
      </c>
      <c r="AB107" s="24" t="s">
        <v>165</v>
      </c>
      <c r="AC107" s="24" t="s">
        <v>166</v>
      </c>
      <c r="AD107" s="24" t="s">
        <v>167</v>
      </c>
      <c r="AE107" s="24"/>
    </row>
    <row r="108" spans="2:31" ht="12.75">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row>
    <row r="109" spans="2:31" ht="12.75">
      <c r="B109" s="24" t="s">
        <v>94</v>
      </c>
      <c r="C109" s="24" t="s">
        <v>144</v>
      </c>
      <c r="D109" s="24" t="s">
        <v>120</v>
      </c>
      <c r="E109" s="24" t="s">
        <v>147</v>
      </c>
      <c r="F109" s="24" t="s">
        <v>146</v>
      </c>
      <c r="G109" s="24"/>
      <c r="H109" s="24" t="s">
        <v>144</v>
      </c>
      <c r="I109" s="24" t="s">
        <v>146</v>
      </c>
      <c r="J109" s="24" t="s">
        <v>147</v>
      </c>
      <c r="K109" s="24" t="s">
        <v>144</v>
      </c>
      <c r="L109" s="24" t="s">
        <v>94</v>
      </c>
      <c r="M109" s="24"/>
      <c r="N109" s="24" t="s">
        <v>94</v>
      </c>
      <c r="O109" s="24" t="s">
        <v>97</v>
      </c>
      <c r="P109" s="24" t="s">
        <v>96</v>
      </c>
      <c r="Q109" s="24" t="s">
        <v>94</v>
      </c>
      <c r="R109" s="24" t="s">
        <v>93</v>
      </c>
      <c r="S109" s="24"/>
      <c r="T109" s="24" t="s">
        <v>144</v>
      </c>
      <c r="U109" s="24" t="s">
        <v>147</v>
      </c>
      <c r="V109" s="24" t="s">
        <v>146</v>
      </c>
      <c r="W109" s="24" t="s">
        <v>144</v>
      </c>
      <c r="X109" s="24" t="s">
        <v>143</v>
      </c>
      <c r="Y109" s="24"/>
      <c r="Z109" s="24" t="s">
        <v>94</v>
      </c>
      <c r="AA109" s="24" t="s">
        <v>144</v>
      </c>
      <c r="AB109" s="24" t="s">
        <v>120</v>
      </c>
      <c r="AC109" s="24" t="s">
        <v>147</v>
      </c>
      <c r="AD109" s="24" t="s">
        <v>146</v>
      </c>
      <c r="AE109" s="24"/>
    </row>
    <row r="110" spans="2:31" ht="12.75">
      <c r="B110" s="24" t="s">
        <v>99</v>
      </c>
      <c r="C110" s="24" t="s">
        <v>149</v>
      </c>
      <c r="D110" s="24" t="s">
        <v>125</v>
      </c>
      <c r="E110" s="24" t="s">
        <v>152</v>
      </c>
      <c r="F110" s="24" t="s">
        <v>151</v>
      </c>
      <c r="G110" s="24"/>
      <c r="H110" s="24" t="s">
        <v>149</v>
      </c>
      <c r="I110" s="24" t="s">
        <v>151</v>
      </c>
      <c r="J110" s="24" t="s">
        <v>152</v>
      </c>
      <c r="K110" s="24" t="s">
        <v>149</v>
      </c>
      <c r="L110" s="24" t="s">
        <v>99</v>
      </c>
      <c r="M110" s="24"/>
      <c r="N110" s="24" t="s">
        <v>99</v>
      </c>
      <c r="O110" s="24" t="s">
        <v>102</v>
      </c>
      <c r="P110" s="24" t="s">
        <v>101</v>
      </c>
      <c r="Q110" s="24" t="s">
        <v>99</v>
      </c>
      <c r="R110" s="24" t="s">
        <v>98</v>
      </c>
      <c r="S110" s="24"/>
      <c r="T110" s="24" t="s">
        <v>149</v>
      </c>
      <c r="U110" s="24" t="s">
        <v>152</v>
      </c>
      <c r="V110" s="24" t="s">
        <v>151</v>
      </c>
      <c r="W110" s="24" t="s">
        <v>149</v>
      </c>
      <c r="X110" s="24" t="s">
        <v>148</v>
      </c>
      <c r="Y110" s="24"/>
      <c r="Z110" s="24" t="s">
        <v>99</v>
      </c>
      <c r="AA110" s="24" t="s">
        <v>149</v>
      </c>
      <c r="AB110" s="24" t="s">
        <v>125</v>
      </c>
      <c r="AC110" s="24" t="s">
        <v>152</v>
      </c>
      <c r="AD110" s="24" t="s">
        <v>151</v>
      </c>
      <c r="AE110" s="24"/>
    </row>
    <row r="111" spans="2:31" ht="12.75">
      <c r="B111" s="24" t="s">
        <v>104</v>
      </c>
      <c r="C111" s="24" t="s">
        <v>154</v>
      </c>
      <c r="D111" s="24" t="s">
        <v>130</v>
      </c>
      <c r="E111" s="24" t="s">
        <v>157</v>
      </c>
      <c r="F111" s="24" t="s">
        <v>156</v>
      </c>
      <c r="G111" s="24"/>
      <c r="H111" s="24" t="s">
        <v>154</v>
      </c>
      <c r="I111" s="24" t="s">
        <v>156</v>
      </c>
      <c r="J111" s="24" t="s">
        <v>157</v>
      </c>
      <c r="K111" s="24" t="s">
        <v>154</v>
      </c>
      <c r="L111" s="24" t="s">
        <v>104</v>
      </c>
      <c r="M111" s="24"/>
      <c r="N111" s="24" t="s">
        <v>104</v>
      </c>
      <c r="O111" s="24" t="s">
        <v>107</v>
      </c>
      <c r="P111" s="24" t="s">
        <v>106</v>
      </c>
      <c r="Q111" s="24" t="s">
        <v>104</v>
      </c>
      <c r="R111" s="24" t="s">
        <v>103</v>
      </c>
      <c r="S111" s="24"/>
      <c r="T111" s="24" t="s">
        <v>154</v>
      </c>
      <c r="U111" s="24" t="s">
        <v>157</v>
      </c>
      <c r="V111" s="24" t="s">
        <v>156</v>
      </c>
      <c r="W111" s="24" t="s">
        <v>154</v>
      </c>
      <c r="X111" s="24" t="s">
        <v>153</v>
      </c>
      <c r="Y111" s="24"/>
      <c r="Z111" s="24" t="s">
        <v>104</v>
      </c>
      <c r="AA111" s="24" t="s">
        <v>154</v>
      </c>
      <c r="AB111" s="24" t="s">
        <v>130</v>
      </c>
      <c r="AC111" s="24" t="s">
        <v>157</v>
      </c>
      <c r="AD111" s="24" t="s">
        <v>156</v>
      </c>
      <c r="AE111" s="24"/>
    </row>
    <row r="112" spans="2:31" ht="12.75">
      <c r="B112" s="24" t="s">
        <v>109</v>
      </c>
      <c r="C112" s="24" t="s">
        <v>159</v>
      </c>
      <c r="D112" s="24" t="s">
        <v>135</v>
      </c>
      <c r="E112" s="24" t="s">
        <v>162</v>
      </c>
      <c r="F112" s="24" t="s">
        <v>161</v>
      </c>
      <c r="G112" s="24"/>
      <c r="H112" s="24" t="s">
        <v>159</v>
      </c>
      <c r="I112" s="24" t="s">
        <v>161</v>
      </c>
      <c r="J112" s="24" t="s">
        <v>162</v>
      </c>
      <c r="K112" s="24" t="s">
        <v>159</v>
      </c>
      <c r="L112" s="24" t="s">
        <v>109</v>
      </c>
      <c r="M112" s="24"/>
      <c r="N112" s="24" t="s">
        <v>109</v>
      </c>
      <c r="O112" s="24" t="s">
        <v>112</v>
      </c>
      <c r="P112" s="24" t="s">
        <v>111</v>
      </c>
      <c r="Q112" s="24" t="s">
        <v>109</v>
      </c>
      <c r="R112" s="24" t="s">
        <v>108</v>
      </c>
      <c r="S112" s="24"/>
      <c r="T112" s="24" t="s">
        <v>159</v>
      </c>
      <c r="U112" s="24" t="s">
        <v>162</v>
      </c>
      <c r="V112" s="24" t="s">
        <v>161</v>
      </c>
      <c r="W112" s="24" t="s">
        <v>159</v>
      </c>
      <c r="X112" s="24" t="s">
        <v>158</v>
      </c>
      <c r="Y112" s="24"/>
      <c r="Z112" s="24" t="s">
        <v>109</v>
      </c>
      <c r="AA112" s="24" t="s">
        <v>159</v>
      </c>
      <c r="AB112" s="24" t="s">
        <v>135</v>
      </c>
      <c r="AC112" s="24" t="s">
        <v>162</v>
      </c>
      <c r="AD112" s="24" t="s">
        <v>161</v>
      </c>
      <c r="AE112" s="24"/>
    </row>
    <row r="113" spans="2:31" ht="12.75">
      <c r="B113" s="24" t="s">
        <v>114</v>
      </c>
      <c r="C113" s="24" t="s">
        <v>164</v>
      </c>
      <c r="D113" s="24" t="s">
        <v>140</v>
      </c>
      <c r="E113" s="24" t="s">
        <v>167</v>
      </c>
      <c r="F113" s="24" t="s">
        <v>166</v>
      </c>
      <c r="G113" s="24"/>
      <c r="H113" s="24" t="s">
        <v>164</v>
      </c>
      <c r="I113" s="24" t="s">
        <v>166</v>
      </c>
      <c r="J113" s="24" t="s">
        <v>167</v>
      </c>
      <c r="K113" s="24" t="s">
        <v>164</v>
      </c>
      <c r="L113" s="24" t="s">
        <v>114</v>
      </c>
      <c r="M113" s="24"/>
      <c r="N113" s="24" t="s">
        <v>114</v>
      </c>
      <c r="O113" s="24" t="s">
        <v>117</v>
      </c>
      <c r="P113" s="24" t="s">
        <v>116</v>
      </c>
      <c r="Q113" s="24" t="s">
        <v>114</v>
      </c>
      <c r="R113" s="24" t="s">
        <v>113</v>
      </c>
      <c r="S113" s="24"/>
      <c r="T113" s="24" t="s">
        <v>164</v>
      </c>
      <c r="U113" s="24" t="s">
        <v>167</v>
      </c>
      <c r="V113" s="24" t="s">
        <v>166</v>
      </c>
      <c r="W113" s="24" t="s">
        <v>164</v>
      </c>
      <c r="X113" s="24" t="s">
        <v>163</v>
      </c>
      <c r="Y113" s="24"/>
      <c r="Z113" s="24" t="s">
        <v>114</v>
      </c>
      <c r="AA113" s="24" t="s">
        <v>164</v>
      </c>
      <c r="AB113" s="24" t="s">
        <v>140</v>
      </c>
      <c r="AC113" s="24" t="s">
        <v>167</v>
      </c>
      <c r="AD113" s="24" t="s">
        <v>166</v>
      </c>
      <c r="AE113" s="24"/>
    </row>
    <row r="114" spans="2:31" ht="12.75">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row>
    <row r="115" spans="2:31" ht="12.75">
      <c r="B115" s="24" t="s">
        <v>68</v>
      </c>
      <c r="C115" s="24" t="s">
        <v>69</v>
      </c>
      <c r="D115" s="24" t="s">
        <v>70</v>
      </c>
      <c r="E115" s="24" t="s">
        <v>71</v>
      </c>
      <c r="F115" s="24" t="s">
        <v>72</v>
      </c>
      <c r="G115" s="24"/>
      <c r="H115" s="24" t="s">
        <v>69</v>
      </c>
      <c r="I115" s="24" t="s">
        <v>72</v>
      </c>
      <c r="J115" s="24" t="s">
        <v>71</v>
      </c>
      <c r="K115" s="24" t="s">
        <v>69</v>
      </c>
      <c r="L115" s="24" t="s">
        <v>68</v>
      </c>
      <c r="M115" s="24"/>
      <c r="N115" s="24" t="s">
        <v>119</v>
      </c>
      <c r="O115" s="24" t="s">
        <v>122</v>
      </c>
      <c r="P115" s="24" t="s">
        <v>121</v>
      </c>
      <c r="Q115" s="24" t="s">
        <v>119</v>
      </c>
      <c r="R115" s="24" t="s">
        <v>118</v>
      </c>
      <c r="S115" s="24"/>
      <c r="T115" s="24" t="s">
        <v>144</v>
      </c>
      <c r="U115" s="24" t="s">
        <v>146</v>
      </c>
      <c r="V115" s="24" t="s">
        <v>147</v>
      </c>
      <c r="W115" s="24" t="s">
        <v>144</v>
      </c>
      <c r="X115" s="24" t="s">
        <v>94</v>
      </c>
      <c r="Y115" s="24"/>
      <c r="Z115" s="24" t="s">
        <v>68</v>
      </c>
      <c r="AA115" s="24" t="s">
        <v>69</v>
      </c>
      <c r="AB115" s="24" t="s">
        <v>70</v>
      </c>
      <c r="AC115" s="24" t="s">
        <v>71</v>
      </c>
      <c r="AD115" s="24" t="s">
        <v>72</v>
      </c>
      <c r="AE115" s="24"/>
    </row>
    <row r="116" spans="2:31" ht="12.75">
      <c r="B116" s="24" t="s">
        <v>73</v>
      </c>
      <c r="C116" s="24" t="s">
        <v>74</v>
      </c>
      <c r="D116" s="24" t="s">
        <v>75</v>
      </c>
      <c r="E116" s="24" t="s">
        <v>76</v>
      </c>
      <c r="F116" s="24" t="s">
        <v>77</v>
      </c>
      <c r="G116" s="24"/>
      <c r="H116" s="24" t="s">
        <v>74</v>
      </c>
      <c r="I116" s="24" t="s">
        <v>77</v>
      </c>
      <c r="J116" s="24" t="s">
        <v>76</v>
      </c>
      <c r="K116" s="24" t="s">
        <v>74</v>
      </c>
      <c r="L116" s="24" t="s">
        <v>73</v>
      </c>
      <c r="M116" s="24"/>
      <c r="N116" s="24" t="s">
        <v>124</v>
      </c>
      <c r="O116" s="24" t="s">
        <v>127</v>
      </c>
      <c r="P116" s="24" t="s">
        <v>126</v>
      </c>
      <c r="Q116" s="24" t="s">
        <v>124</v>
      </c>
      <c r="R116" s="24" t="s">
        <v>123</v>
      </c>
      <c r="S116" s="24"/>
      <c r="T116" s="24" t="s">
        <v>149</v>
      </c>
      <c r="U116" s="24" t="s">
        <v>151</v>
      </c>
      <c r="V116" s="24" t="s">
        <v>152</v>
      </c>
      <c r="W116" s="24" t="s">
        <v>149</v>
      </c>
      <c r="X116" s="24" t="s">
        <v>99</v>
      </c>
      <c r="Y116" s="24"/>
      <c r="Z116" s="24" t="s">
        <v>73</v>
      </c>
      <c r="AA116" s="24" t="s">
        <v>74</v>
      </c>
      <c r="AB116" s="24" t="s">
        <v>75</v>
      </c>
      <c r="AC116" s="24" t="s">
        <v>76</v>
      </c>
      <c r="AD116" s="24" t="s">
        <v>77</v>
      </c>
      <c r="AE116" s="24"/>
    </row>
    <row r="117" spans="2:31" ht="12.75">
      <c r="B117" s="24" t="s">
        <v>78</v>
      </c>
      <c r="C117" s="24" t="s">
        <v>79</v>
      </c>
      <c r="D117" s="24" t="s">
        <v>80</v>
      </c>
      <c r="E117" s="24" t="s">
        <v>81</v>
      </c>
      <c r="F117" s="24" t="s">
        <v>82</v>
      </c>
      <c r="G117" s="24"/>
      <c r="H117" s="24" t="s">
        <v>79</v>
      </c>
      <c r="I117" s="24" t="s">
        <v>82</v>
      </c>
      <c r="J117" s="24" t="s">
        <v>81</v>
      </c>
      <c r="K117" s="24" t="s">
        <v>79</v>
      </c>
      <c r="L117" s="24" t="s">
        <v>78</v>
      </c>
      <c r="M117" s="24"/>
      <c r="N117" s="24" t="s">
        <v>129</v>
      </c>
      <c r="O117" s="24" t="s">
        <v>132</v>
      </c>
      <c r="P117" s="24" t="s">
        <v>131</v>
      </c>
      <c r="Q117" s="24" t="s">
        <v>129</v>
      </c>
      <c r="R117" s="24" t="s">
        <v>128</v>
      </c>
      <c r="S117" s="24"/>
      <c r="T117" s="24" t="s">
        <v>154</v>
      </c>
      <c r="U117" s="24" t="s">
        <v>156</v>
      </c>
      <c r="V117" s="24" t="s">
        <v>157</v>
      </c>
      <c r="W117" s="24" t="s">
        <v>154</v>
      </c>
      <c r="X117" s="24" t="s">
        <v>104</v>
      </c>
      <c r="Y117" s="24"/>
      <c r="Z117" s="24" t="s">
        <v>78</v>
      </c>
      <c r="AA117" s="24" t="s">
        <v>79</v>
      </c>
      <c r="AB117" s="24" t="s">
        <v>80</v>
      </c>
      <c r="AC117" s="24" t="s">
        <v>81</v>
      </c>
      <c r="AD117" s="24" t="s">
        <v>82</v>
      </c>
      <c r="AE117" s="24"/>
    </row>
    <row r="118" spans="2:31" ht="12.75">
      <c r="B118" s="24" t="s">
        <v>83</v>
      </c>
      <c r="C118" s="24" t="s">
        <v>84</v>
      </c>
      <c r="D118" s="24" t="s">
        <v>85</v>
      </c>
      <c r="E118" s="24" t="s">
        <v>86</v>
      </c>
      <c r="F118" s="24" t="s">
        <v>87</v>
      </c>
      <c r="G118" s="24"/>
      <c r="H118" s="24" t="s">
        <v>84</v>
      </c>
      <c r="I118" s="24" t="s">
        <v>87</v>
      </c>
      <c r="J118" s="24" t="s">
        <v>86</v>
      </c>
      <c r="K118" s="24" t="s">
        <v>84</v>
      </c>
      <c r="L118" s="24" t="s">
        <v>83</v>
      </c>
      <c r="M118" s="24"/>
      <c r="N118" s="24" t="s">
        <v>134</v>
      </c>
      <c r="O118" s="24" t="s">
        <v>137</v>
      </c>
      <c r="P118" s="24" t="s">
        <v>136</v>
      </c>
      <c r="Q118" s="24" t="s">
        <v>134</v>
      </c>
      <c r="R118" s="24" t="s">
        <v>133</v>
      </c>
      <c r="S118" s="24"/>
      <c r="T118" s="24" t="s">
        <v>159</v>
      </c>
      <c r="U118" s="24" t="s">
        <v>161</v>
      </c>
      <c r="V118" s="24" t="s">
        <v>162</v>
      </c>
      <c r="W118" s="24" t="s">
        <v>159</v>
      </c>
      <c r="X118" s="24" t="s">
        <v>109</v>
      </c>
      <c r="Y118" s="24"/>
      <c r="Z118" s="24" t="s">
        <v>83</v>
      </c>
      <c r="AA118" s="24" t="s">
        <v>84</v>
      </c>
      <c r="AB118" s="24" t="s">
        <v>85</v>
      </c>
      <c r="AC118" s="24" t="s">
        <v>86</v>
      </c>
      <c r="AD118" s="24" t="s">
        <v>87</v>
      </c>
      <c r="AE118" s="24"/>
    </row>
    <row r="119" spans="2:31" ht="12.75">
      <c r="B119" s="24" t="s">
        <v>88</v>
      </c>
      <c r="C119" s="24" t="s">
        <v>89</v>
      </c>
      <c r="D119" s="24" t="s">
        <v>90</v>
      </c>
      <c r="E119" s="24" t="s">
        <v>91</v>
      </c>
      <c r="F119" s="24" t="s">
        <v>92</v>
      </c>
      <c r="G119" s="24"/>
      <c r="H119" s="24" t="s">
        <v>89</v>
      </c>
      <c r="I119" s="24" t="s">
        <v>92</v>
      </c>
      <c r="J119" s="24" t="s">
        <v>91</v>
      </c>
      <c r="K119" s="24" t="s">
        <v>89</v>
      </c>
      <c r="L119" s="24" t="s">
        <v>88</v>
      </c>
      <c r="M119" s="24"/>
      <c r="N119" s="24" t="s">
        <v>139</v>
      </c>
      <c r="O119" s="24" t="s">
        <v>142</v>
      </c>
      <c r="P119" s="24" t="s">
        <v>141</v>
      </c>
      <c r="Q119" s="24" t="s">
        <v>139</v>
      </c>
      <c r="R119" s="24" t="s">
        <v>138</v>
      </c>
      <c r="S119" s="24"/>
      <c r="T119" s="24" t="s">
        <v>164</v>
      </c>
      <c r="U119" s="24" t="s">
        <v>166</v>
      </c>
      <c r="V119" s="24" t="s">
        <v>167</v>
      </c>
      <c r="W119" s="24" t="s">
        <v>164</v>
      </c>
      <c r="X119" s="24" t="s">
        <v>114</v>
      </c>
      <c r="Y119" s="24"/>
      <c r="Z119" s="24" t="s">
        <v>88</v>
      </c>
      <c r="AA119" s="24" t="s">
        <v>89</v>
      </c>
      <c r="AB119" s="24" t="s">
        <v>90</v>
      </c>
      <c r="AC119" s="24" t="s">
        <v>91</v>
      </c>
      <c r="AD119" s="24" t="s">
        <v>92</v>
      </c>
      <c r="AE119" s="24"/>
    </row>
    <row r="120" spans="2:31" ht="12.75">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row>
    <row r="121" spans="2:31" ht="12.75">
      <c r="B121" s="24" t="s">
        <v>93</v>
      </c>
      <c r="C121" s="24" t="s">
        <v>94</v>
      </c>
      <c r="D121" s="24" t="s">
        <v>95</v>
      </c>
      <c r="E121" s="24" t="s">
        <v>96</v>
      </c>
      <c r="F121" s="24" t="s">
        <v>97</v>
      </c>
      <c r="G121" s="24"/>
      <c r="H121" s="24" t="s">
        <v>94</v>
      </c>
      <c r="I121" s="24" t="s">
        <v>97</v>
      </c>
      <c r="J121" s="24" t="s">
        <v>96</v>
      </c>
      <c r="K121" s="24" t="s">
        <v>94</v>
      </c>
      <c r="L121" s="24" t="s">
        <v>93</v>
      </c>
      <c r="M121" s="24"/>
      <c r="N121" s="24" t="s">
        <v>144</v>
      </c>
      <c r="O121" s="24" t="s">
        <v>147</v>
      </c>
      <c r="P121" s="24" t="s">
        <v>146</v>
      </c>
      <c r="Q121" s="24" t="s">
        <v>144</v>
      </c>
      <c r="R121" s="24" t="s">
        <v>143</v>
      </c>
      <c r="S121" s="24"/>
      <c r="T121" s="24" t="s">
        <v>69</v>
      </c>
      <c r="U121" s="24" t="s">
        <v>72</v>
      </c>
      <c r="V121" s="24" t="s">
        <v>71</v>
      </c>
      <c r="W121" s="24" t="s">
        <v>69</v>
      </c>
      <c r="X121" s="24" t="s">
        <v>68</v>
      </c>
      <c r="Y121" s="24"/>
      <c r="Z121" s="24" t="s">
        <v>93</v>
      </c>
      <c r="AA121" s="24" t="s">
        <v>94</v>
      </c>
      <c r="AB121" s="24" t="s">
        <v>95</v>
      </c>
      <c r="AC121" s="24" t="s">
        <v>96</v>
      </c>
      <c r="AD121" s="24" t="s">
        <v>97</v>
      </c>
      <c r="AE121" s="24"/>
    </row>
    <row r="122" spans="2:31" ht="12.75">
      <c r="B122" s="24" t="s">
        <v>98</v>
      </c>
      <c r="C122" s="24" t="s">
        <v>99</v>
      </c>
      <c r="D122" s="24" t="s">
        <v>100</v>
      </c>
      <c r="E122" s="24" t="s">
        <v>101</v>
      </c>
      <c r="F122" s="24" t="s">
        <v>102</v>
      </c>
      <c r="G122" s="24"/>
      <c r="H122" s="24" t="s">
        <v>99</v>
      </c>
      <c r="I122" s="24" t="s">
        <v>102</v>
      </c>
      <c r="J122" s="24" t="s">
        <v>101</v>
      </c>
      <c r="K122" s="24" t="s">
        <v>99</v>
      </c>
      <c r="L122" s="24" t="s">
        <v>98</v>
      </c>
      <c r="M122" s="24"/>
      <c r="N122" s="24" t="s">
        <v>149</v>
      </c>
      <c r="O122" s="24" t="s">
        <v>152</v>
      </c>
      <c r="P122" s="24" t="s">
        <v>151</v>
      </c>
      <c r="Q122" s="24" t="s">
        <v>149</v>
      </c>
      <c r="R122" s="24" t="s">
        <v>148</v>
      </c>
      <c r="S122" s="24"/>
      <c r="T122" s="24" t="s">
        <v>74</v>
      </c>
      <c r="U122" s="24" t="s">
        <v>77</v>
      </c>
      <c r="V122" s="24" t="s">
        <v>76</v>
      </c>
      <c r="W122" s="24" t="s">
        <v>74</v>
      </c>
      <c r="X122" s="24" t="s">
        <v>73</v>
      </c>
      <c r="Y122" s="24"/>
      <c r="Z122" s="24" t="s">
        <v>98</v>
      </c>
      <c r="AA122" s="24" t="s">
        <v>99</v>
      </c>
      <c r="AB122" s="24" t="s">
        <v>100</v>
      </c>
      <c r="AC122" s="24" t="s">
        <v>101</v>
      </c>
      <c r="AD122" s="24" t="s">
        <v>102</v>
      </c>
      <c r="AE122" s="24"/>
    </row>
    <row r="123" spans="2:31" ht="12.75">
      <c r="B123" s="24" t="s">
        <v>103</v>
      </c>
      <c r="C123" s="24" t="s">
        <v>104</v>
      </c>
      <c r="D123" s="24" t="s">
        <v>105</v>
      </c>
      <c r="E123" s="24" t="s">
        <v>106</v>
      </c>
      <c r="F123" s="24" t="s">
        <v>107</v>
      </c>
      <c r="G123" s="24"/>
      <c r="H123" s="24" t="s">
        <v>104</v>
      </c>
      <c r="I123" s="24" t="s">
        <v>107</v>
      </c>
      <c r="J123" s="24" t="s">
        <v>106</v>
      </c>
      <c r="K123" s="24" t="s">
        <v>104</v>
      </c>
      <c r="L123" s="24" t="s">
        <v>103</v>
      </c>
      <c r="M123" s="24"/>
      <c r="N123" s="24" t="s">
        <v>154</v>
      </c>
      <c r="O123" s="24" t="s">
        <v>157</v>
      </c>
      <c r="P123" s="24" t="s">
        <v>156</v>
      </c>
      <c r="Q123" s="24" t="s">
        <v>154</v>
      </c>
      <c r="R123" s="24" t="s">
        <v>153</v>
      </c>
      <c r="S123" s="24"/>
      <c r="T123" s="24" t="s">
        <v>79</v>
      </c>
      <c r="U123" s="24" t="s">
        <v>82</v>
      </c>
      <c r="V123" s="24" t="s">
        <v>81</v>
      </c>
      <c r="W123" s="24" t="s">
        <v>79</v>
      </c>
      <c r="X123" s="24" t="s">
        <v>78</v>
      </c>
      <c r="Y123" s="24"/>
      <c r="Z123" s="24" t="s">
        <v>103</v>
      </c>
      <c r="AA123" s="24" t="s">
        <v>104</v>
      </c>
      <c r="AB123" s="24" t="s">
        <v>105</v>
      </c>
      <c r="AC123" s="24" t="s">
        <v>106</v>
      </c>
      <c r="AD123" s="24" t="s">
        <v>107</v>
      </c>
      <c r="AE123" s="24"/>
    </row>
    <row r="124" spans="2:31" ht="12.75">
      <c r="B124" s="24" t="s">
        <v>108</v>
      </c>
      <c r="C124" s="24" t="s">
        <v>109</v>
      </c>
      <c r="D124" s="24" t="s">
        <v>110</v>
      </c>
      <c r="E124" s="24" t="s">
        <v>111</v>
      </c>
      <c r="F124" s="24" t="s">
        <v>112</v>
      </c>
      <c r="G124" s="24"/>
      <c r="H124" s="24" t="s">
        <v>109</v>
      </c>
      <c r="I124" s="24" t="s">
        <v>112</v>
      </c>
      <c r="J124" s="24" t="s">
        <v>111</v>
      </c>
      <c r="K124" s="24" t="s">
        <v>109</v>
      </c>
      <c r="L124" s="24" t="s">
        <v>108</v>
      </c>
      <c r="M124" s="24"/>
      <c r="N124" s="24" t="s">
        <v>159</v>
      </c>
      <c r="O124" s="24" t="s">
        <v>162</v>
      </c>
      <c r="P124" s="24" t="s">
        <v>161</v>
      </c>
      <c r="Q124" s="24" t="s">
        <v>159</v>
      </c>
      <c r="R124" s="24" t="s">
        <v>158</v>
      </c>
      <c r="S124" s="24"/>
      <c r="T124" s="24" t="s">
        <v>84</v>
      </c>
      <c r="U124" s="24" t="s">
        <v>87</v>
      </c>
      <c r="V124" s="24" t="s">
        <v>86</v>
      </c>
      <c r="W124" s="24" t="s">
        <v>84</v>
      </c>
      <c r="X124" s="24" t="s">
        <v>83</v>
      </c>
      <c r="Y124" s="24"/>
      <c r="Z124" s="24" t="s">
        <v>108</v>
      </c>
      <c r="AA124" s="24" t="s">
        <v>109</v>
      </c>
      <c r="AB124" s="24" t="s">
        <v>110</v>
      </c>
      <c r="AC124" s="24" t="s">
        <v>111</v>
      </c>
      <c r="AD124" s="24" t="s">
        <v>112</v>
      </c>
      <c r="AE124" s="24"/>
    </row>
    <row r="125" spans="2:31" ht="12.75">
      <c r="B125" s="24" t="s">
        <v>113</v>
      </c>
      <c r="C125" s="24" t="s">
        <v>114</v>
      </c>
      <c r="D125" s="24" t="s">
        <v>115</v>
      </c>
      <c r="E125" s="24" t="s">
        <v>116</v>
      </c>
      <c r="F125" s="24" t="s">
        <v>117</v>
      </c>
      <c r="G125" s="24"/>
      <c r="H125" s="24" t="s">
        <v>114</v>
      </c>
      <c r="I125" s="24" t="s">
        <v>117</v>
      </c>
      <c r="J125" s="24" t="s">
        <v>116</v>
      </c>
      <c r="K125" s="24" t="s">
        <v>114</v>
      </c>
      <c r="L125" s="24" t="s">
        <v>113</v>
      </c>
      <c r="M125" s="24"/>
      <c r="N125" s="24" t="s">
        <v>164</v>
      </c>
      <c r="O125" s="24" t="s">
        <v>167</v>
      </c>
      <c r="P125" s="24" t="s">
        <v>166</v>
      </c>
      <c r="Q125" s="24" t="s">
        <v>164</v>
      </c>
      <c r="R125" s="24" t="s">
        <v>163</v>
      </c>
      <c r="S125" s="24"/>
      <c r="T125" s="24" t="s">
        <v>89</v>
      </c>
      <c r="U125" s="24" t="s">
        <v>92</v>
      </c>
      <c r="V125" s="24" t="s">
        <v>91</v>
      </c>
      <c r="W125" s="24" t="s">
        <v>89</v>
      </c>
      <c r="X125" s="24" t="s">
        <v>88</v>
      </c>
      <c r="Y125" s="24"/>
      <c r="Z125" s="24" t="s">
        <v>113</v>
      </c>
      <c r="AA125" s="24" t="s">
        <v>114</v>
      </c>
      <c r="AB125" s="24" t="s">
        <v>115</v>
      </c>
      <c r="AC125" s="24" t="s">
        <v>116</v>
      </c>
      <c r="AD125" s="24" t="s">
        <v>117</v>
      </c>
      <c r="AE125" s="24"/>
    </row>
    <row r="126" spans="2:31" ht="12.75">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row>
    <row r="127" spans="2:31" ht="12.75">
      <c r="B127" s="24" t="s">
        <v>118</v>
      </c>
      <c r="C127" s="24" t="s">
        <v>119</v>
      </c>
      <c r="D127" s="24" t="s">
        <v>120</v>
      </c>
      <c r="E127" s="24" t="s">
        <v>121</v>
      </c>
      <c r="F127" s="24" t="s">
        <v>122</v>
      </c>
      <c r="G127" s="24"/>
      <c r="H127" s="24" t="s">
        <v>119</v>
      </c>
      <c r="I127" s="24" t="s">
        <v>122</v>
      </c>
      <c r="J127" s="24" t="s">
        <v>121</v>
      </c>
      <c r="K127" s="24" t="s">
        <v>119</v>
      </c>
      <c r="L127" s="24" t="s">
        <v>118</v>
      </c>
      <c r="M127" s="24"/>
      <c r="N127" s="24" t="s">
        <v>144</v>
      </c>
      <c r="O127" s="24" t="s">
        <v>146</v>
      </c>
      <c r="P127" s="24" t="s">
        <v>147</v>
      </c>
      <c r="Q127" s="24" t="s">
        <v>144</v>
      </c>
      <c r="R127" s="24" t="s">
        <v>94</v>
      </c>
      <c r="S127" s="24"/>
      <c r="T127" s="24" t="s">
        <v>94</v>
      </c>
      <c r="U127" s="24" t="s">
        <v>97</v>
      </c>
      <c r="V127" s="24" t="s">
        <v>96</v>
      </c>
      <c r="W127" s="24" t="s">
        <v>94</v>
      </c>
      <c r="X127" s="24" t="s">
        <v>93</v>
      </c>
      <c r="Y127" s="24"/>
      <c r="Z127" s="24" t="s">
        <v>118</v>
      </c>
      <c r="AA127" s="24" t="s">
        <v>119</v>
      </c>
      <c r="AB127" s="24" t="s">
        <v>120</v>
      </c>
      <c r="AC127" s="24" t="s">
        <v>121</v>
      </c>
      <c r="AD127" s="24" t="s">
        <v>122</v>
      </c>
      <c r="AE127" s="24"/>
    </row>
    <row r="128" spans="2:31" ht="12.75">
      <c r="B128" s="24" t="s">
        <v>123</v>
      </c>
      <c r="C128" s="24" t="s">
        <v>124</v>
      </c>
      <c r="D128" s="24" t="s">
        <v>125</v>
      </c>
      <c r="E128" s="24" t="s">
        <v>126</v>
      </c>
      <c r="F128" s="24" t="s">
        <v>127</v>
      </c>
      <c r="G128" s="24"/>
      <c r="H128" s="24" t="s">
        <v>124</v>
      </c>
      <c r="I128" s="24" t="s">
        <v>127</v>
      </c>
      <c r="J128" s="24" t="s">
        <v>126</v>
      </c>
      <c r="K128" s="24" t="s">
        <v>124</v>
      </c>
      <c r="L128" s="24" t="s">
        <v>123</v>
      </c>
      <c r="M128" s="24"/>
      <c r="N128" s="24" t="s">
        <v>149</v>
      </c>
      <c r="O128" s="24" t="s">
        <v>151</v>
      </c>
      <c r="P128" s="24" t="s">
        <v>152</v>
      </c>
      <c r="Q128" s="24" t="s">
        <v>149</v>
      </c>
      <c r="R128" s="24" t="s">
        <v>99</v>
      </c>
      <c r="S128" s="24"/>
      <c r="T128" s="24" t="s">
        <v>99</v>
      </c>
      <c r="U128" s="24" t="s">
        <v>102</v>
      </c>
      <c r="V128" s="24" t="s">
        <v>101</v>
      </c>
      <c r="W128" s="24" t="s">
        <v>99</v>
      </c>
      <c r="X128" s="24" t="s">
        <v>98</v>
      </c>
      <c r="Y128" s="24"/>
      <c r="Z128" s="24" t="s">
        <v>123</v>
      </c>
      <c r="AA128" s="24" t="s">
        <v>124</v>
      </c>
      <c r="AB128" s="24" t="s">
        <v>125</v>
      </c>
      <c r="AC128" s="24" t="s">
        <v>126</v>
      </c>
      <c r="AD128" s="24" t="s">
        <v>127</v>
      </c>
      <c r="AE128" s="24"/>
    </row>
    <row r="129" spans="2:31" ht="12.75">
      <c r="B129" s="24" t="s">
        <v>128</v>
      </c>
      <c r="C129" s="24" t="s">
        <v>129</v>
      </c>
      <c r="D129" s="24" t="s">
        <v>130</v>
      </c>
      <c r="E129" s="24" t="s">
        <v>131</v>
      </c>
      <c r="F129" s="24" t="s">
        <v>132</v>
      </c>
      <c r="G129" s="24"/>
      <c r="H129" s="24" t="s">
        <v>129</v>
      </c>
      <c r="I129" s="24" t="s">
        <v>132</v>
      </c>
      <c r="J129" s="24" t="s">
        <v>131</v>
      </c>
      <c r="K129" s="24" t="s">
        <v>129</v>
      </c>
      <c r="L129" s="24" t="s">
        <v>128</v>
      </c>
      <c r="M129" s="24"/>
      <c r="N129" s="24" t="s">
        <v>154</v>
      </c>
      <c r="O129" s="24" t="s">
        <v>156</v>
      </c>
      <c r="P129" s="24" t="s">
        <v>157</v>
      </c>
      <c r="Q129" s="24" t="s">
        <v>154</v>
      </c>
      <c r="R129" s="24" t="s">
        <v>104</v>
      </c>
      <c r="S129" s="24"/>
      <c r="T129" s="24" t="s">
        <v>104</v>
      </c>
      <c r="U129" s="24" t="s">
        <v>107</v>
      </c>
      <c r="V129" s="24" t="s">
        <v>106</v>
      </c>
      <c r="W129" s="24" t="s">
        <v>104</v>
      </c>
      <c r="X129" s="24" t="s">
        <v>103</v>
      </c>
      <c r="Y129" s="24"/>
      <c r="Z129" s="24" t="s">
        <v>128</v>
      </c>
      <c r="AA129" s="24" t="s">
        <v>129</v>
      </c>
      <c r="AB129" s="24" t="s">
        <v>130</v>
      </c>
      <c r="AC129" s="24" t="s">
        <v>131</v>
      </c>
      <c r="AD129" s="24" t="s">
        <v>132</v>
      </c>
      <c r="AE129" s="24"/>
    </row>
    <row r="130" spans="2:31" ht="12.75">
      <c r="B130" s="24" t="s">
        <v>133</v>
      </c>
      <c r="C130" s="24" t="s">
        <v>134</v>
      </c>
      <c r="D130" s="24" t="s">
        <v>135</v>
      </c>
      <c r="E130" s="24" t="s">
        <v>136</v>
      </c>
      <c r="F130" s="24" t="s">
        <v>137</v>
      </c>
      <c r="G130" s="24"/>
      <c r="H130" s="24" t="s">
        <v>134</v>
      </c>
      <c r="I130" s="24" t="s">
        <v>137</v>
      </c>
      <c r="J130" s="24" t="s">
        <v>136</v>
      </c>
      <c r="K130" s="24" t="s">
        <v>134</v>
      </c>
      <c r="L130" s="24" t="s">
        <v>133</v>
      </c>
      <c r="M130" s="24"/>
      <c r="N130" s="24" t="s">
        <v>159</v>
      </c>
      <c r="O130" s="24" t="s">
        <v>161</v>
      </c>
      <c r="P130" s="24" t="s">
        <v>162</v>
      </c>
      <c r="Q130" s="24" t="s">
        <v>159</v>
      </c>
      <c r="R130" s="24" t="s">
        <v>109</v>
      </c>
      <c r="S130" s="24"/>
      <c r="T130" s="24" t="s">
        <v>109</v>
      </c>
      <c r="U130" s="24" t="s">
        <v>112</v>
      </c>
      <c r="V130" s="24" t="s">
        <v>111</v>
      </c>
      <c r="W130" s="24" t="s">
        <v>109</v>
      </c>
      <c r="X130" s="24" t="s">
        <v>108</v>
      </c>
      <c r="Y130" s="24"/>
      <c r="Z130" s="24" t="s">
        <v>133</v>
      </c>
      <c r="AA130" s="24" t="s">
        <v>134</v>
      </c>
      <c r="AB130" s="24" t="s">
        <v>135</v>
      </c>
      <c r="AC130" s="24" t="s">
        <v>136</v>
      </c>
      <c r="AD130" s="24" t="s">
        <v>137</v>
      </c>
      <c r="AE130" s="24"/>
    </row>
    <row r="131" spans="2:31" ht="12.75">
      <c r="B131" s="24" t="s">
        <v>138</v>
      </c>
      <c r="C131" s="24" t="s">
        <v>139</v>
      </c>
      <c r="D131" s="24" t="s">
        <v>140</v>
      </c>
      <c r="E131" s="24" t="s">
        <v>141</v>
      </c>
      <c r="F131" s="24" t="s">
        <v>142</v>
      </c>
      <c r="G131" s="24"/>
      <c r="H131" s="24" t="s">
        <v>139</v>
      </c>
      <c r="I131" s="24" t="s">
        <v>142</v>
      </c>
      <c r="J131" s="24" t="s">
        <v>141</v>
      </c>
      <c r="K131" s="24" t="s">
        <v>139</v>
      </c>
      <c r="L131" s="24" t="s">
        <v>138</v>
      </c>
      <c r="M131" s="24"/>
      <c r="N131" s="24" t="s">
        <v>164</v>
      </c>
      <c r="O131" s="24" t="s">
        <v>166</v>
      </c>
      <c r="P131" s="24" t="s">
        <v>167</v>
      </c>
      <c r="Q131" s="24" t="s">
        <v>164</v>
      </c>
      <c r="R131" s="24" t="s">
        <v>114</v>
      </c>
      <c r="S131" s="24"/>
      <c r="T131" s="24" t="s">
        <v>114</v>
      </c>
      <c r="U131" s="24" t="s">
        <v>117</v>
      </c>
      <c r="V131" s="24" t="s">
        <v>116</v>
      </c>
      <c r="W131" s="24" t="s">
        <v>114</v>
      </c>
      <c r="X131" s="24" t="s">
        <v>113</v>
      </c>
      <c r="Y131" s="24"/>
      <c r="Z131" s="24" t="s">
        <v>138</v>
      </c>
      <c r="AA131" s="24" t="s">
        <v>139</v>
      </c>
      <c r="AB131" s="24" t="s">
        <v>140</v>
      </c>
      <c r="AC131" s="24" t="s">
        <v>141</v>
      </c>
      <c r="AD131" s="24" t="s">
        <v>142</v>
      </c>
      <c r="AE131" s="24"/>
    </row>
    <row r="132" spans="2:31" ht="12.75">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row>
    <row r="133" spans="2:31" ht="12.75">
      <c r="B133" s="24" t="s">
        <v>143</v>
      </c>
      <c r="C133" s="24" t="s">
        <v>144</v>
      </c>
      <c r="D133" s="24" t="s">
        <v>145</v>
      </c>
      <c r="E133" s="24" t="s">
        <v>146</v>
      </c>
      <c r="F133" s="24" t="s">
        <v>147</v>
      </c>
      <c r="G133" s="24"/>
      <c r="H133" s="24" t="s">
        <v>144</v>
      </c>
      <c r="I133" s="24" t="s">
        <v>147</v>
      </c>
      <c r="J133" s="24" t="s">
        <v>146</v>
      </c>
      <c r="K133" s="24" t="s">
        <v>144</v>
      </c>
      <c r="L133" s="24" t="s">
        <v>143</v>
      </c>
      <c r="M133" s="24"/>
      <c r="N133" s="24" t="s">
        <v>69</v>
      </c>
      <c r="O133" s="24" t="s">
        <v>72</v>
      </c>
      <c r="P133" s="24" t="s">
        <v>71</v>
      </c>
      <c r="Q133" s="24" t="s">
        <v>69</v>
      </c>
      <c r="R133" s="24" t="s">
        <v>68</v>
      </c>
      <c r="S133" s="24"/>
      <c r="T133" s="24" t="s">
        <v>119</v>
      </c>
      <c r="U133" s="24" t="s">
        <v>122</v>
      </c>
      <c r="V133" s="24" t="s">
        <v>121</v>
      </c>
      <c r="W133" s="24" t="s">
        <v>119</v>
      </c>
      <c r="X133" s="24" t="s">
        <v>118</v>
      </c>
      <c r="Y133" s="24"/>
      <c r="Z133" s="24" t="s">
        <v>143</v>
      </c>
      <c r="AA133" s="24" t="s">
        <v>144</v>
      </c>
      <c r="AB133" s="24" t="s">
        <v>145</v>
      </c>
      <c r="AC133" s="24" t="s">
        <v>146</v>
      </c>
      <c r="AD133" s="24" t="s">
        <v>147</v>
      </c>
      <c r="AE133" s="24"/>
    </row>
    <row r="134" spans="2:31" ht="12.75">
      <c r="B134" s="24" t="s">
        <v>148</v>
      </c>
      <c r="C134" s="24" t="s">
        <v>149</v>
      </c>
      <c r="D134" s="24" t="s">
        <v>150</v>
      </c>
      <c r="E134" s="24" t="s">
        <v>151</v>
      </c>
      <c r="F134" s="24" t="s">
        <v>152</v>
      </c>
      <c r="G134" s="24"/>
      <c r="H134" s="24" t="s">
        <v>149</v>
      </c>
      <c r="I134" s="24" t="s">
        <v>152</v>
      </c>
      <c r="J134" s="24" t="s">
        <v>151</v>
      </c>
      <c r="K134" s="24" t="s">
        <v>149</v>
      </c>
      <c r="L134" s="24" t="s">
        <v>148</v>
      </c>
      <c r="M134" s="24"/>
      <c r="N134" s="24" t="s">
        <v>74</v>
      </c>
      <c r="O134" s="24" t="s">
        <v>77</v>
      </c>
      <c r="P134" s="24" t="s">
        <v>76</v>
      </c>
      <c r="Q134" s="24" t="s">
        <v>74</v>
      </c>
      <c r="R134" s="24" t="s">
        <v>73</v>
      </c>
      <c r="S134" s="24"/>
      <c r="T134" s="24" t="s">
        <v>124</v>
      </c>
      <c r="U134" s="24" t="s">
        <v>127</v>
      </c>
      <c r="V134" s="24" t="s">
        <v>126</v>
      </c>
      <c r="W134" s="24" t="s">
        <v>124</v>
      </c>
      <c r="X134" s="24" t="s">
        <v>123</v>
      </c>
      <c r="Y134" s="24"/>
      <c r="Z134" s="24" t="s">
        <v>148</v>
      </c>
      <c r="AA134" s="24" t="s">
        <v>149</v>
      </c>
      <c r="AB134" s="24" t="s">
        <v>150</v>
      </c>
      <c r="AC134" s="24" t="s">
        <v>151</v>
      </c>
      <c r="AD134" s="24" t="s">
        <v>152</v>
      </c>
      <c r="AE134" s="24"/>
    </row>
    <row r="135" spans="2:31" ht="12.75">
      <c r="B135" s="24" t="s">
        <v>153</v>
      </c>
      <c r="C135" s="24" t="s">
        <v>154</v>
      </c>
      <c r="D135" s="24" t="s">
        <v>155</v>
      </c>
      <c r="E135" s="24" t="s">
        <v>156</v>
      </c>
      <c r="F135" s="24" t="s">
        <v>157</v>
      </c>
      <c r="G135" s="24"/>
      <c r="H135" s="24" t="s">
        <v>154</v>
      </c>
      <c r="I135" s="24" t="s">
        <v>157</v>
      </c>
      <c r="J135" s="24" t="s">
        <v>156</v>
      </c>
      <c r="K135" s="24" t="s">
        <v>154</v>
      </c>
      <c r="L135" s="24" t="s">
        <v>153</v>
      </c>
      <c r="M135" s="24"/>
      <c r="N135" s="24" t="s">
        <v>79</v>
      </c>
      <c r="O135" s="24" t="s">
        <v>82</v>
      </c>
      <c r="P135" s="24" t="s">
        <v>81</v>
      </c>
      <c r="Q135" s="24" t="s">
        <v>79</v>
      </c>
      <c r="R135" s="24" t="s">
        <v>78</v>
      </c>
      <c r="S135" s="24"/>
      <c r="T135" s="24" t="s">
        <v>129</v>
      </c>
      <c r="U135" s="24" t="s">
        <v>132</v>
      </c>
      <c r="V135" s="24" t="s">
        <v>131</v>
      </c>
      <c r="W135" s="24" t="s">
        <v>129</v>
      </c>
      <c r="X135" s="24" t="s">
        <v>128</v>
      </c>
      <c r="Y135" s="24"/>
      <c r="Z135" s="24" t="s">
        <v>153</v>
      </c>
      <c r="AA135" s="24" t="s">
        <v>154</v>
      </c>
      <c r="AB135" s="24" t="s">
        <v>155</v>
      </c>
      <c r="AC135" s="24" t="s">
        <v>156</v>
      </c>
      <c r="AD135" s="24" t="s">
        <v>157</v>
      </c>
      <c r="AE135" s="24"/>
    </row>
    <row r="136" spans="2:31" ht="12.75">
      <c r="B136" s="24" t="s">
        <v>158</v>
      </c>
      <c r="C136" s="24" t="s">
        <v>159</v>
      </c>
      <c r="D136" s="24" t="s">
        <v>160</v>
      </c>
      <c r="E136" s="24" t="s">
        <v>161</v>
      </c>
      <c r="F136" s="24" t="s">
        <v>162</v>
      </c>
      <c r="G136" s="24"/>
      <c r="H136" s="24" t="s">
        <v>159</v>
      </c>
      <c r="I136" s="24" t="s">
        <v>162</v>
      </c>
      <c r="J136" s="24" t="s">
        <v>161</v>
      </c>
      <c r="K136" s="24" t="s">
        <v>159</v>
      </c>
      <c r="L136" s="24" t="s">
        <v>158</v>
      </c>
      <c r="M136" s="24"/>
      <c r="N136" s="24" t="s">
        <v>84</v>
      </c>
      <c r="O136" s="24" t="s">
        <v>87</v>
      </c>
      <c r="P136" s="24" t="s">
        <v>86</v>
      </c>
      <c r="Q136" s="24" t="s">
        <v>84</v>
      </c>
      <c r="R136" s="24" t="s">
        <v>83</v>
      </c>
      <c r="S136" s="24"/>
      <c r="T136" s="24" t="s">
        <v>134</v>
      </c>
      <c r="U136" s="24" t="s">
        <v>137</v>
      </c>
      <c r="V136" s="24" t="s">
        <v>136</v>
      </c>
      <c r="W136" s="24" t="s">
        <v>134</v>
      </c>
      <c r="X136" s="24" t="s">
        <v>133</v>
      </c>
      <c r="Y136" s="24"/>
      <c r="Z136" s="24" t="s">
        <v>158</v>
      </c>
      <c r="AA136" s="24" t="s">
        <v>159</v>
      </c>
      <c r="AB136" s="24" t="s">
        <v>160</v>
      </c>
      <c r="AC136" s="24" t="s">
        <v>161</v>
      </c>
      <c r="AD136" s="24" t="s">
        <v>162</v>
      </c>
      <c r="AE136" s="24"/>
    </row>
    <row r="137" spans="2:31" ht="12.75">
      <c r="B137" s="24" t="s">
        <v>163</v>
      </c>
      <c r="C137" s="24" t="s">
        <v>164</v>
      </c>
      <c r="D137" s="24" t="s">
        <v>165</v>
      </c>
      <c r="E137" s="24" t="s">
        <v>166</v>
      </c>
      <c r="F137" s="24" t="s">
        <v>167</v>
      </c>
      <c r="G137" s="24"/>
      <c r="H137" s="24" t="s">
        <v>164</v>
      </c>
      <c r="I137" s="24" t="s">
        <v>167</v>
      </c>
      <c r="J137" s="24" t="s">
        <v>166</v>
      </c>
      <c r="K137" s="24" t="s">
        <v>164</v>
      </c>
      <c r="L137" s="24" t="s">
        <v>163</v>
      </c>
      <c r="M137" s="24"/>
      <c r="N137" s="24" t="s">
        <v>89</v>
      </c>
      <c r="O137" s="24" t="s">
        <v>92</v>
      </c>
      <c r="P137" s="24" t="s">
        <v>91</v>
      </c>
      <c r="Q137" s="24" t="s">
        <v>89</v>
      </c>
      <c r="R137" s="24" t="s">
        <v>88</v>
      </c>
      <c r="S137" s="24"/>
      <c r="T137" s="24" t="s">
        <v>139</v>
      </c>
      <c r="U137" s="24" t="s">
        <v>142</v>
      </c>
      <c r="V137" s="24" t="s">
        <v>141</v>
      </c>
      <c r="W137" s="24" t="s">
        <v>139</v>
      </c>
      <c r="X137" s="24" t="s">
        <v>138</v>
      </c>
      <c r="Y137" s="24"/>
      <c r="Z137" s="24" t="s">
        <v>163</v>
      </c>
      <c r="AA137" s="24" t="s">
        <v>164</v>
      </c>
      <c r="AB137" s="24" t="s">
        <v>165</v>
      </c>
      <c r="AC137" s="24" t="s">
        <v>166</v>
      </c>
      <c r="AD137" s="24" t="s">
        <v>167</v>
      </c>
      <c r="AE137" s="24"/>
    </row>
    <row r="138" spans="2:31" ht="12.75">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row>
    <row r="139" spans="2:31" ht="12.75">
      <c r="B139" s="24" t="s">
        <v>94</v>
      </c>
      <c r="C139" s="24" t="s">
        <v>144</v>
      </c>
      <c r="D139" s="24" t="s">
        <v>120</v>
      </c>
      <c r="E139" s="24" t="s">
        <v>147</v>
      </c>
      <c r="F139" s="24" t="s">
        <v>146</v>
      </c>
      <c r="G139" s="24"/>
      <c r="H139" s="24" t="s">
        <v>144</v>
      </c>
      <c r="I139" s="24" t="s">
        <v>146</v>
      </c>
      <c r="J139" s="24" t="s">
        <v>147</v>
      </c>
      <c r="K139" s="24" t="s">
        <v>144</v>
      </c>
      <c r="L139" s="24" t="s">
        <v>94</v>
      </c>
      <c r="M139" s="24"/>
      <c r="N139" s="24" t="s">
        <v>94</v>
      </c>
      <c r="O139" s="24" t="s">
        <v>97</v>
      </c>
      <c r="P139" s="24" t="s">
        <v>96</v>
      </c>
      <c r="Q139" s="24" t="s">
        <v>94</v>
      </c>
      <c r="R139" s="24" t="s">
        <v>93</v>
      </c>
      <c r="S139" s="24"/>
      <c r="T139" s="24" t="s">
        <v>144</v>
      </c>
      <c r="U139" s="24" t="s">
        <v>147</v>
      </c>
      <c r="V139" s="24" t="s">
        <v>146</v>
      </c>
      <c r="W139" s="24" t="s">
        <v>144</v>
      </c>
      <c r="X139" s="24" t="s">
        <v>143</v>
      </c>
      <c r="Y139" s="24"/>
      <c r="Z139" s="24" t="s">
        <v>94</v>
      </c>
      <c r="AA139" s="24" t="s">
        <v>144</v>
      </c>
      <c r="AB139" s="24" t="s">
        <v>120</v>
      </c>
      <c r="AC139" s="24" t="s">
        <v>147</v>
      </c>
      <c r="AD139" s="24" t="s">
        <v>146</v>
      </c>
      <c r="AE139" s="24"/>
    </row>
    <row r="140" spans="2:31" ht="12.75">
      <c r="B140" s="24" t="s">
        <v>99</v>
      </c>
      <c r="C140" s="24" t="s">
        <v>149</v>
      </c>
      <c r="D140" s="24" t="s">
        <v>125</v>
      </c>
      <c r="E140" s="24" t="s">
        <v>152</v>
      </c>
      <c r="F140" s="24" t="s">
        <v>151</v>
      </c>
      <c r="G140" s="24"/>
      <c r="H140" s="24" t="s">
        <v>149</v>
      </c>
      <c r="I140" s="24" t="s">
        <v>151</v>
      </c>
      <c r="J140" s="24" t="s">
        <v>152</v>
      </c>
      <c r="K140" s="24" t="s">
        <v>149</v>
      </c>
      <c r="L140" s="24" t="s">
        <v>99</v>
      </c>
      <c r="M140" s="24"/>
      <c r="N140" s="24" t="s">
        <v>99</v>
      </c>
      <c r="O140" s="24" t="s">
        <v>102</v>
      </c>
      <c r="P140" s="24" t="s">
        <v>101</v>
      </c>
      <c r="Q140" s="24" t="s">
        <v>99</v>
      </c>
      <c r="R140" s="24" t="s">
        <v>98</v>
      </c>
      <c r="S140" s="24"/>
      <c r="T140" s="24" t="s">
        <v>149</v>
      </c>
      <c r="U140" s="24" t="s">
        <v>152</v>
      </c>
      <c r="V140" s="24" t="s">
        <v>151</v>
      </c>
      <c r="W140" s="24" t="s">
        <v>149</v>
      </c>
      <c r="X140" s="24" t="s">
        <v>148</v>
      </c>
      <c r="Y140" s="24"/>
      <c r="Z140" s="24" t="s">
        <v>99</v>
      </c>
      <c r="AA140" s="24" t="s">
        <v>149</v>
      </c>
      <c r="AB140" s="24" t="s">
        <v>125</v>
      </c>
      <c r="AC140" s="24" t="s">
        <v>152</v>
      </c>
      <c r="AD140" s="24" t="s">
        <v>151</v>
      </c>
      <c r="AE140" s="24"/>
    </row>
    <row r="141" spans="2:31" ht="12.75">
      <c r="B141" s="24" t="s">
        <v>104</v>
      </c>
      <c r="C141" s="24" t="s">
        <v>154</v>
      </c>
      <c r="D141" s="24" t="s">
        <v>130</v>
      </c>
      <c r="E141" s="24" t="s">
        <v>157</v>
      </c>
      <c r="F141" s="24" t="s">
        <v>156</v>
      </c>
      <c r="G141" s="24"/>
      <c r="H141" s="24" t="s">
        <v>154</v>
      </c>
      <c r="I141" s="24" t="s">
        <v>156</v>
      </c>
      <c r="J141" s="24" t="s">
        <v>157</v>
      </c>
      <c r="K141" s="24" t="s">
        <v>154</v>
      </c>
      <c r="L141" s="24" t="s">
        <v>104</v>
      </c>
      <c r="M141" s="24"/>
      <c r="N141" s="24" t="s">
        <v>104</v>
      </c>
      <c r="O141" s="24" t="s">
        <v>107</v>
      </c>
      <c r="P141" s="24" t="s">
        <v>106</v>
      </c>
      <c r="Q141" s="24" t="s">
        <v>104</v>
      </c>
      <c r="R141" s="24" t="s">
        <v>103</v>
      </c>
      <c r="S141" s="24"/>
      <c r="T141" s="24" t="s">
        <v>154</v>
      </c>
      <c r="U141" s="24" t="s">
        <v>157</v>
      </c>
      <c r="V141" s="24" t="s">
        <v>156</v>
      </c>
      <c r="W141" s="24" t="s">
        <v>154</v>
      </c>
      <c r="X141" s="24" t="s">
        <v>153</v>
      </c>
      <c r="Y141" s="24"/>
      <c r="Z141" s="24" t="s">
        <v>104</v>
      </c>
      <c r="AA141" s="24" t="s">
        <v>154</v>
      </c>
      <c r="AB141" s="24" t="s">
        <v>130</v>
      </c>
      <c r="AC141" s="24" t="s">
        <v>157</v>
      </c>
      <c r="AD141" s="24" t="s">
        <v>156</v>
      </c>
      <c r="AE141" s="24"/>
    </row>
    <row r="142" spans="2:31" ht="12.75">
      <c r="B142" s="24" t="s">
        <v>109</v>
      </c>
      <c r="C142" s="24" t="s">
        <v>159</v>
      </c>
      <c r="D142" s="24" t="s">
        <v>135</v>
      </c>
      <c r="E142" s="24" t="s">
        <v>162</v>
      </c>
      <c r="F142" s="24" t="s">
        <v>161</v>
      </c>
      <c r="G142" s="24"/>
      <c r="H142" s="24" t="s">
        <v>159</v>
      </c>
      <c r="I142" s="24" t="s">
        <v>161</v>
      </c>
      <c r="J142" s="24" t="s">
        <v>162</v>
      </c>
      <c r="K142" s="24" t="s">
        <v>159</v>
      </c>
      <c r="L142" s="24" t="s">
        <v>109</v>
      </c>
      <c r="M142" s="24"/>
      <c r="N142" s="24" t="s">
        <v>109</v>
      </c>
      <c r="O142" s="24" t="s">
        <v>112</v>
      </c>
      <c r="P142" s="24" t="s">
        <v>111</v>
      </c>
      <c r="Q142" s="24" t="s">
        <v>109</v>
      </c>
      <c r="R142" s="24" t="s">
        <v>108</v>
      </c>
      <c r="S142" s="24"/>
      <c r="T142" s="24" t="s">
        <v>159</v>
      </c>
      <c r="U142" s="24" t="s">
        <v>162</v>
      </c>
      <c r="V142" s="24" t="s">
        <v>161</v>
      </c>
      <c r="W142" s="24" t="s">
        <v>159</v>
      </c>
      <c r="X142" s="24" t="s">
        <v>158</v>
      </c>
      <c r="Y142" s="24"/>
      <c r="Z142" s="24" t="s">
        <v>109</v>
      </c>
      <c r="AA142" s="24" t="s">
        <v>159</v>
      </c>
      <c r="AB142" s="24" t="s">
        <v>135</v>
      </c>
      <c r="AC142" s="24" t="s">
        <v>162</v>
      </c>
      <c r="AD142" s="24" t="s">
        <v>161</v>
      </c>
      <c r="AE142" s="24"/>
    </row>
    <row r="143" spans="2:31" ht="12.75">
      <c r="B143" s="24" t="s">
        <v>114</v>
      </c>
      <c r="C143" s="24" t="s">
        <v>164</v>
      </c>
      <c r="D143" s="24" t="s">
        <v>140</v>
      </c>
      <c r="E143" s="24" t="s">
        <v>167</v>
      </c>
      <c r="F143" s="24" t="s">
        <v>166</v>
      </c>
      <c r="G143" s="24"/>
      <c r="H143" s="24" t="s">
        <v>164</v>
      </c>
      <c r="I143" s="24" t="s">
        <v>166</v>
      </c>
      <c r="J143" s="24" t="s">
        <v>167</v>
      </c>
      <c r="K143" s="24" t="s">
        <v>164</v>
      </c>
      <c r="L143" s="24" t="s">
        <v>114</v>
      </c>
      <c r="M143" s="24"/>
      <c r="N143" s="24" t="s">
        <v>114</v>
      </c>
      <c r="O143" s="24" t="s">
        <v>117</v>
      </c>
      <c r="P143" s="24" t="s">
        <v>116</v>
      </c>
      <c r="Q143" s="24" t="s">
        <v>114</v>
      </c>
      <c r="R143" s="24" t="s">
        <v>113</v>
      </c>
      <c r="S143" s="24"/>
      <c r="T143" s="24" t="s">
        <v>164</v>
      </c>
      <c r="U143" s="24" t="s">
        <v>167</v>
      </c>
      <c r="V143" s="24" t="s">
        <v>166</v>
      </c>
      <c r="W143" s="24" t="s">
        <v>164</v>
      </c>
      <c r="X143" s="24" t="s">
        <v>163</v>
      </c>
      <c r="Y143" s="24"/>
      <c r="Z143" s="24" t="s">
        <v>114</v>
      </c>
      <c r="AA143" s="24" t="s">
        <v>164</v>
      </c>
      <c r="AB143" s="24" t="s">
        <v>140</v>
      </c>
      <c r="AC143" s="24" t="s">
        <v>167</v>
      </c>
      <c r="AD143" s="24" t="s">
        <v>166</v>
      </c>
      <c r="AE143" s="24"/>
    </row>
    <row r="144" spans="2:31" ht="3" customHeight="1"/>
    <row r="145" ht="12.75" hidden="1"/>
    <row r="146" ht="12.6" customHeight="1"/>
    <row r="147" ht="12.6" customHeight="1"/>
    <row r="148" ht="12.6" customHeight="1"/>
    <row r="149" ht="12.6" customHeight="1"/>
  </sheetData>
  <conditionalFormatting sqref="A7:AE144">
    <cfRule type="cellIs" dxfId="21" priority="1" operator="notEqual">
      <formula>""</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6"/>
  </sheetPr>
  <dimension ref="A1:O20"/>
  <sheetViews>
    <sheetView showGridLines="0" tabSelected="1" zoomScaleNormal="100" workbookViewId="0">
      <pane ySplit="4" topLeftCell="A13" activePane="bottomLeft" state="frozen"/>
      <selection activeCell="B4" sqref="B4"/>
      <selection pane="bottomLeft" activeCell="D13" sqref="D13:H13"/>
    </sheetView>
  </sheetViews>
  <sheetFormatPr defaultColWidth="0" defaultRowHeight="14.25" customHeight="1" zeroHeight="1"/>
  <cols>
    <col min="1" max="1" width="1.5" customWidth="1"/>
    <col min="2" max="2" width="1.625" customWidth="1"/>
    <col min="3" max="3" width="2.625" customWidth="1"/>
    <col min="4" max="4" width="57.625" customWidth="1"/>
    <col min="5" max="5" width="1.625" customWidth="1"/>
    <col min="6" max="6" width="30.625" customWidth="1"/>
    <col min="7" max="7" width="1.625" customWidth="1"/>
    <col min="8" max="8" width="30.625" customWidth="1"/>
    <col min="9" max="9" width="1.5" customWidth="1"/>
    <col min="10" max="15" width="0" hidden="1" customWidth="1"/>
    <col min="16" max="16384" width="9" hidden="1"/>
  </cols>
  <sheetData>
    <row r="1" spans="2:8" ht="3" customHeight="1"/>
    <row r="2" spans="2:8" ht="23.25">
      <c r="B2" s="79" t="s">
        <v>238</v>
      </c>
    </row>
    <row r="3" spans="2:8" ht="23.25">
      <c r="B3" s="80" t="s">
        <v>239</v>
      </c>
    </row>
    <row r="4" spans="2:8" ht="3" customHeight="1"/>
    <row r="5" spans="2:8" ht="0.95" customHeight="1">
      <c r="B5" s="81"/>
      <c r="C5" s="81"/>
      <c r="D5" s="81"/>
      <c r="E5" s="81"/>
      <c r="F5" s="81"/>
      <c r="G5" s="81"/>
      <c r="H5" s="81"/>
    </row>
    <row r="6" spans="2:8" ht="3" customHeight="1"/>
    <row r="7" spans="2:8" s="1" customFormat="1" ht="30" customHeight="1">
      <c r="B7" s="206" t="s">
        <v>243</v>
      </c>
      <c r="C7" s="206"/>
      <c r="D7" s="206"/>
      <c r="E7" s="206"/>
      <c r="F7" s="206"/>
      <c r="G7" s="206"/>
      <c r="H7" s="206"/>
    </row>
    <row r="8" spans="2:8" s="1" customFormat="1" ht="3" customHeight="1">
      <c r="B8" s="82"/>
    </row>
    <row r="9" spans="2:8" s="1" customFormat="1" ht="30" customHeight="1">
      <c r="B9" s="206" t="s">
        <v>244</v>
      </c>
      <c r="C9" s="206"/>
      <c r="D9" s="206"/>
      <c r="E9" s="206"/>
      <c r="F9" s="206"/>
      <c r="G9" s="206"/>
      <c r="H9" s="206"/>
    </row>
    <row r="10" spans="2:8" s="1" customFormat="1" ht="3" customHeight="1">
      <c r="B10" s="82"/>
    </row>
    <row r="11" spans="2:8" s="1" customFormat="1" ht="136.5" customHeight="1">
      <c r="B11" s="83"/>
      <c r="D11" s="207" t="s">
        <v>245</v>
      </c>
      <c r="E11" s="208"/>
      <c r="F11" s="208"/>
      <c r="G11" s="208"/>
      <c r="H11" s="208"/>
    </row>
    <row r="12" spans="2:8" s="1" customFormat="1" ht="3" customHeight="1">
      <c r="B12" s="82"/>
    </row>
    <row r="13" spans="2:8" s="1" customFormat="1" ht="254.25" customHeight="1">
      <c r="B13" s="83"/>
      <c r="D13" s="209" t="s">
        <v>246</v>
      </c>
      <c r="E13" s="210"/>
      <c r="F13" s="210"/>
      <c r="G13" s="210"/>
      <c r="H13" s="210"/>
    </row>
    <row r="14" spans="2:8" s="1" customFormat="1" ht="0.95" customHeight="1">
      <c r="B14" s="83"/>
      <c r="D14" s="143"/>
      <c r="E14" s="144"/>
      <c r="F14" s="144"/>
      <c r="G14" s="144"/>
      <c r="H14" s="144"/>
    </row>
    <row r="15" spans="2:8" s="1" customFormat="1" ht="90" customHeight="1">
      <c r="B15" s="83"/>
      <c r="D15" s="209" t="s">
        <v>273</v>
      </c>
      <c r="E15" s="210"/>
      <c r="F15" s="210"/>
      <c r="G15" s="210"/>
      <c r="H15" s="210"/>
    </row>
    <row r="16" spans="2:8" ht="3" customHeight="1"/>
    <row r="17" spans="2:8" ht="0.95" customHeight="1">
      <c r="B17" s="81"/>
      <c r="C17" s="81"/>
      <c r="D17" s="81"/>
      <c r="E17" s="81"/>
      <c r="F17" s="81"/>
      <c r="G17" s="81"/>
      <c r="H17" s="81"/>
    </row>
    <row r="18" spans="2:8" ht="3" customHeight="1"/>
    <row r="19" spans="2:8" ht="14.25" customHeight="1"/>
    <row r="20" spans="2:8" ht="14.25" customHeight="1"/>
  </sheetData>
  <mergeCells count="5">
    <mergeCell ref="B7:H7"/>
    <mergeCell ref="D11:H11"/>
    <mergeCell ref="D13:H13"/>
    <mergeCell ref="B9:H9"/>
    <mergeCell ref="D15:H1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tabColor theme="6" tint="0.59999389629810485"/>
  </sheetPr>
  <dimension ref="A1:O63"/>
  <sheetViews>
    <sheetView showGridLines="0" zoomScaleNormal="100" workbookViewId="0">
      <pane ySplit="4" topLeftCell="A41" activePane="bottomLeft" state="frozen"/>
      <selection activeCell="B4" sqref="B4"/>
      <selection pane="bottomLeft" activeCell="K46" sqref="K46"/>
    </sheetView>
  </sheetViews>
  <sheetFormatPr defaultColWidth="0" defaultRowHeight="12.6" customHeight="1" zeroHeight="1"/>
  <cols>
    <col min="1" max="1" width="1.5" style="23" customWidth="1"/>
    <col min="2" max="2" width="10.625" style="23" customWidth="1"/>
    <col min="3" max="3" width="13.625" style="23" customWidth="1"/>
    <col min="4" max="5" width="12.375" style="23" customWidth="1"/>
    <col min="6" max="6" width="1.625" style="23" customWidth="1"/>
    <col min="7" max="10" width="14.625" style="23" customWidth="1"/>
    <col min="11" max="11" width="30.625" style="23" customWidth="1"/>
    <col min="12" max="12" width="1.5" style="23" customWidth="1"/>
    <col min="13" max="14" width="9" style="23" hidden="1" customWidth="1"/>
    <col min="15" max="16384" width="9" style="23" hidden="1"/>
  </cols>
  <sheetData>
    <row r="1" spans="2:15" customFormat="1" ht="3" customHeight="1"/>
    <row r="2" spans="2:15" customFormat="1" ht="23.25">
      <c r="B2" s="79" t="s">
        <v>238</v>
      </c>
    </row>
    <row r="3" spans="2:15" customFormat="1" ht="23.25">
      <c r="B3" s="80" t="s">
        <v>464</v>
      </c>
    </row>
    <row r="4" spans="2:15" customFormat="1" ht="3" customHeight="1"/>
    <row r="5" spans="2:15" customFormat="1" ht="0.95" customHeight="1">
      <c r="B5" s="81"/>
      <c r="C5" s="81"/>
      <c r="D5" s="81"/>
      <c r="E5" s="81"/>
      <c r="F5" s="81"/>
      <c r="G5" s="81"/>
      <c r="H5" s="81"/>
      <c r="I5" s="81"/>
      <c r="J5" s="81"/>
      <c r="K5" s="81"/>
      <c r="L5" s="81"/>
      <c r="M5" s="81"/>
      <c r="N5" s="81"/>
      <c r="O5" s="81"/>
    </row>
    <row r="6" spans="2:15" customFormat="1" ht="3" customHeight="1"/>
    <row r="7" spans="2:15" ht="12.75"/>
    <row r="8" spans="2:15" ht="12.75"/>
    <row r="9" spans="2:15" ht="12.75"/>
    <row r="10" spans="2:15" ht="12.75"/>
    <row r="11" spans="2:15" ht="12.75"/>
    <row r="12" spans="2:15" ht="12.75"/>
    <row r="13" spans="2:15" ht="12.75"/>
    <row r="14" spans="2:15" ht="3" customHeight="1"/>
    <row r="15" spans="2:15" ht="30" customHeight="1">
      <c r="B15" s="89" t="s">
        <v>66</v>
      </c>
      <c r="C15" s="90" t="s">
        <v>168</v>
      </c>
      <c r="D15" s="90" t="s">
        <v>169</v>
      </c>
      <c r="E15" s="91" t="s">
        <v>170</v>
      </c>
      <c r="F15" s="84"/>
      <c r="G15" s="84"/>
      <c r="H15" s="219" t="s">
        <v>240</v>
      </c>
      <c r="I15" s="220"/>
      <c r="J15" s="220"/>
      <c r="K15" s="221"/>
      <c r="L15" s="84"/>
    </row>
    <row r="16" spans="2:15" ht="13.5">
      <c r="B16" s="85" t="s">
        <v>171</v>
      </c>
      <c r="C16" s="86">
        <v>10</v>
      </c>
      <c r="D16" s="86">
        <v>60</v>
      </c>
      <c r="E16" s="86" t="s">
        <v>172</v>
      </c>
      <c r="F16" s="84"/>
      <c r="G16" s="88"/>
      <c r="H16" s="222" t="s">
        <v>173</v>
      </c>
      <c r="I16" s="223"/>
      <c r="J16" s="223"/>
      <c r="K16" s="92"/>
      <c r="L16" s="84"/>
    </row>
    <row r="17" spans="2:15" ht="13.5">
      <c r="B17" s="85" t="s">
        <v>174</v>
      </c>
      <c r="C17" s="86">
        <v>16</v>
      </c>
      <c r="D17" s="86">
        <v>2</v>
      </c>
      <c r="E17" s="86" t="s">
        <v>175</v>
      </c>
      <c r="F17" s="84"/>
      <c r="G17" s="84"/>
      <c r="H17" s="224" t="s">
        <v>177</v>
      </c>
      <c r="I17" s="225"/>
      <c r="J17" s="225"/>
      <c r="K17" s="93"/>
      <c r="L17" s="84"/>
    </row>
    <row r="18" spans="2:15" ht="13.5">
      <c r="B18" s="85" t="s">
        <v>176</v>
      </c>
      <c r="C18" s="86">
        <v>14</v>
      </c>
      <c r="D18" s="86">
        <v>22</v>
      </c>
      <c r="E18" s="86" t="s">
        <v>172</v>
      </c>
      <c r="F18" s="84"/>
      <c r="G18" s="87"/>
      <c r="L18" s="84"/>
    </row>
    <row r="19" spans="2:15" ht="13.5">
      <c r="B19" s="85" t="s">
        <v>178</v>
      </c>
      <c r="C19" s="86">
        <v>37</v>
      </c>
      <c r="D19" s="86">
        <v>57</v>
      </c>
      <c r="E19" s="86" t="s">
        <v>172</v>
      </c>
      <c r="F19" s="84"/>
      <c r="G19" s="84"/>
      <c r="H19" s="219" t="s">
        <v>465</v>
      </c>
      <c r="I19" s="220"/>
      <c r="J19" s="220"/>
      <c r="K19" s="221"/>
      <c r="L19" s="84"/>
    </row>
    <row r="20" spans="2:15" ht="13.5">
      <c r="B20" s="85" t="s">
        <v>179</v>
      </c>
      <c r="C20" s="86">
        <v>38</v>
      </c>
      <c r="D20" s="86">
        <v>55</v>
      </c>
      <c r="E20" s="86" t="s">
        <v>175</v>
      </c>
      <c r="F20" s="84"/>
      <c r="G20" s="84"/>
      <c r="H20" s="229" t="s">
        <v>174</v>
      </c>
      <c r="I20" s="223"/>
      <c r="J20" s="223"/>
      <c r="K20" s="92"/>
      <c r="L20" s="84"/>
    </row>
    <row r="21" spans="2:15" ht="13.5">
      <c r="B21" s="85" t="s">
        <v>180</v>
      </c>
      <c r="C21" s="86">
        <v>2</v>
      </c>
      <c r="D21" s="86">
        <v>24</v>
      </c>
      <c r="E21" s="86" t="s">
        <v>175</v>
      </c>
      <c r="F21" s="84"/>
      <c r="G21" s="84"/>
      <c r="H21" s="228" t="s">
        <v>180</v>
      </c>
      <c r="I21" s="225"/>
      <c r="J21" s="225"/>
      <c r="K21" s="93"/>
      <c r="L21" s="84"/>
    </row>
    <row r="22" spans="2:15" customFormat="1" ht="3" customHeight="1"/>
    <row r="23" spans="2:15" customFormat="1" ht="0.95" customHeight="1">
      <c r="B23" s="81"/>
      <c r="C23" s="81"/>
      <c r="D23" s="81"/>
      <c r="E23" s="81"/>
      <c r="F23" s="81"/>
      <c r="G23" s="81"/>
      <c r="H23" s="81"/>
      <c r="I23" s="81"/>
      <c r="J23" s="81"/>
      <c r="K23" s="81"/>
      <c r="L23" s="81"/>
      <c r="M23" s="81"/>
      <c r="N23" s="81"/>
      <c r="O23" s="81"/>
    </row>
    <row r="24" spans="2:15" customFormat="1" ht="3" customHeight="1"/>
    <row r="25" spans="2:15" ht="12.75"/>
    <row r="26" spans="2:15" ht="12.75"/>
    <row r="27" spans="2:15" ht="12.75"/>
    <row r="28" spans="2:15" ht="12.75"/>
    <row r="29" spans="2:15" ht="12.75"/>
    <row r="30" spans="2:15" ht="12.75"/>
    <row r="31" spans="2:15" ht="12.75"/>
    <row r="32" spans="2:15" ht="12.75"/>
    <row r="33" spans="2:15" ht="12.75"/>
    <row r="34" spans="2:15" ht="12.75"/>
    <row r="35" spans="2:15" ht="12.75"/>
    <row r="36" spans="2:15" ht="12.75"/>
    <row r="37" spans="2:15" ht="12.75"/>
    <row r="38" spans="2:15" ht="12.75"/>
    <row r="39" spans="2:15" ht="12.75"/>
    <row r="40" spans="2:15" ht="3" customHeight="1"/>
    <row r="41" spans="2:15" ht="30" customHeight="1">
      <c r="B41" s="89" t="s">
        <v>66</v>
      </c>
      <c r="C41" s="90" t="s">
        <v>185</v>
      </c>
      <c r="D41" s="90" t="s">
        <v>186</v>
      </c>
      <c r="E41" s="91" t="s">
        <v>187</v>
      </c>
      <c r="F41" s="84"/>
      <c r="G41" s="214" t="s">
        <v>240</v>
      </c>
      <c r="H41" s="215"/>
      <c r="I41" s="215"/>
      <c r="J41" s="215"/>
      <c r="K41" s="216"/>
      <c r="L41" s="84"/>
    </row>
    <row r="42" spans="2:15" ht="13.9">
      <c r="B42" s="85" t="s">
        <v>171</v>
      </c>
      <c r="C42" s="86">
        <v>1</v>
      </c>
      <c r="D42" s="86">
        <v>1</v>
      </c>
      <c r="E42" s="86" t="s">
        <v>175</v>
      </c>
      <c r="F42" s="84"/>
      <c r="G42" s="96" t="s">
        <v>241</v>
      </c>
      <c r="H42" s="84"/>
      <c r="I42"/>
      <c r="J42"/>
      <c r="K42" s="106" t="s">
        <v>255</v>
      </c>
      <c r="L42" s="84"/>
    </row>
    <row r="43" spans="2:15" ht="16.5" customHeight="1">
      <c r="B43" s="85" t="s">
        <v>174</v>
      </c>
      <c r="C43" s="86">
        <v>2</v>
      </c>
      <c r="D43" s="86">
        <v>6</v>
      </c>
      <c r="E43" s="86" t="s">
        <v>175</v>
      </c>
      <c r="F43" s="84"/>
      <c r="G43" s="94"/>
      <c r="H43" s="84"/>
      <c r="I43"/>
      <c r="J43"/>
      <c r="K43" s="107" t="s">
        <v>254</v>
      </c>
      <c r="L43" s="84"/>
    </row>
    <row r="44" spans="2:15" ht="16.5" customHeight="1">
      <c r="B44" s="85" t="s">
        <v>176</v>
      </c>
      <c r="C44" s="86">
        <v>4</v>
      </c>
      <c r="D44" s="86">
        <v>4</v>
      </c>
      <c r="E44" s="86" t="s">
        <v>175</v>
      </c>
      <c r="F44" s="84"/>
      <c r="G44" s="94"/>
      <c r="H44" s="84"/>
      <c r="I44"/>
      <c r="J44"/>
      <c r="K44" s="105"/>
      <c r="L44" s="84"/>
    </row>
    <row r="45" spans="2:15" ht="16.5" customHeight="1">
      <c r="B45" s="85" t="s">
        <v>178</v>
      </c>
      <c r="C45" s="86">
        <v>1</v>
      </c>
      <c r="D45" s="86">
        <v>2</v>
      </c>
      <c r="E45" s="86" t="s">
        <v>175</v>
      </c>
      <c r="F45" s="84"/>
      <c r="G45" s="94"/>
      <c r="H45" s="84"/>
      <c r="I45"/>
      <c r="J45"/>
      <c r="K45" s="105"/>
      <c r="L45" s="84"/>
    </row>
    <row r="46" spans="2:15" ht="13.5">
      <c r="B46" s="85" t="s">
        <v>179</v>
      </c>
      <c r="C46" s="86">
        <v>2</v>
      </c>
      <c r="D46" s="86">
        <v>1</v>
      </c>
      <c r="E46" s="86" t="s">
        <v>175</v>
      </c>
      <c r="F46" s="84"/>
      <c r="G46" s="106" t="s">
        <v>183</v>
      </c>
      <c r="H46" s="217" t="s">
        <v>184</v>
      </c>
      <c r="I46" s="218"/>
      <c r="J46" s="218"/>
      <c r="K46" s="95"/>
      <c r="L46" s="84"/>
    </row>
    <row r="47" spans="2:15" ht="13.5">
      <c r="B47" s="85" t="s">
        <v>183</v>
      </c>
      <c r="C47" s="86">
        <v>25</v>
      </c>
      <c r="D47" s="86">
        <v>0</v>
      </c>
      <c r="E47" s="86" t="s">
        <v>188</v>
      </c>
      <c r="F47" s="84"/>
      <c r="G47" s="107" t="s">
        <v>176</v>
      </c>
      <c r="H47" s="211" t="s">
        <v>466</v>
      </c>
      <c r="I47" s="226"/>
      <c r="J47" s="227"/>
      <c r="K47" s="93"/>
      <c r="L47" s="84"/>
    </row>
    <row r="48" spans="2:15" customFormat="1" ht="0.95" customHeight="1">
      <c r="B48" s="81"/>
      <c r="C48" s="81"/>
      <c r="D48" s="81"/>
      <c r="E48" s="81"/>
      <c r="F48" s="81"/>
      <c r="G48" s="81"/>
      <c r="H48" s="81"/>
      <c r="I48" s="81"/>
      <c r="J48" s="81"/>
      <c r="K48" s="81"/>
      <c r="L48" s="81"/>
      <c r="M48" s="81"/>
      <c r="N48" s="81"/>
      <c r="O48" s="81"/>
    </row>
    <row r="49" spans="2:12" customFormat="1" ht="3" customHeight="1"/>
    <row r="50" spans="2:12" ht="12.75"/>
    <row r="51" spans="2:12" ht="12.75"/>
    <row r="52" spans="2:12" ht="12.75"/>
    <row r="53" spans="2:12" ht="12.75"/>
    <row r="54" spans="2:12" ht="3" customHeight="1"/>
    <row r="55" spans="2:12" ht="30" customHeight="1">
      <c r="B55" s="89" t="s">
        <v>66</v>
      </c>
      <c r="C55" s="90" t="s">
        <v>185</v>
      </c>
      <c r="D55" s="90" t="s">
        <v>186</v>
      </c>
      <c r="E55" s="91" t="s">
        <v>187</v>
      </c>
      <c r="F55" s="84"/>
      <c r="G55" s="214" t="s">
        <v>240</v>
      </c>
      <c r="H55" s="215"/>
      <c r="I55" s="215"/>
      <c r="J55" s="215"/>
      <c r="K55" s="216"/>
      <c r="L55" s="84"/>
    </row>
    <row r="56" spans="2:12" ht="13.9">
      <c r="B56" s="85" t="s">
        <v>171</v>
      </c>
      <c r="C56" s="86">
        <v>1</v>
      </c>
      <c r="D56" s="86">
        <v>1</v>
      </c>
      <c r="E56" s="86" t="s">
        <v>175</v>
      </c>
      <c r="F56" s="84"/>
      <c r="G56" s="96" t="s">
        <v>241</v>
      </c>
      <c r="H56" s="84"/>
      <c r="I56"/>
      <c r="J56"/>
      <c r="K56" s="104" t="s">
        <v>467</v>
      </c>
      <c r="L56" s="84"/>
    </row>
    <row r="57" spans="2:12" ht="16.5" customHeight="1">
      <c r="B57" s="85" t="s">
        <v>174</v>
      </c>
      <c r="C57" s="86">
        <v>2</v>
      </c>
      <c r="D57" s="86">
        <v>6</v>
      </c>
      <c r="E57" s="86" t="s">
        <v>175</v>
      </c>
      <c r="F57" s="84"/>
      <c r="G57" s="96"/>
      <c r="H57" s="84"/>
      <c r="I57"/>
      <c r="J57"/>
      <c r="K57" s="105" t="s">
        <v>256</v>
      </c>
      <c r="L57" s="84"/>
    </row>
    <row r="58" spans="2:12" ht="16.5" customHeight="1">
      <c r="B58" s="85" t="s">
        <v>176</v>
      </c>
      <c r="C58" s="86">
        <v>4</v>
      </c>
      <c r="D58" s="86">
        <v>4</v>
      </c>
      <c r="E58" s="86" t="s">
        <v>175</v>
      </c>
      <c r="F58" s="84"/>
      <c r="G58" s="96"/>
      <c r="H58" s="84"/>
      <c r="I58"/>
      <c r="J58"/>
      <c r="K58" s="105" t="s">
        <v>255</v>
      </c>
      <c r="L58" s="84"/>
    </row>
    <row r="59" spans="2:12" ht="16.5" customHeight="1">
      <c r="B59" s="85" t="s">
        <v>178</v>
      </c>
      <c r="C59" s="86">
        <v>1</v>
      </c>
      <c r="D59" s="86">
        <v>2</v>
      </c>
      <c r="E59" s="86" t="s">
        <v>175</v>
      </c>
      <c r="F59" s="84"/>
      <c r="G59" s="94"/>
      <c r="H59" s="84"/>
      <c r="I59"/>
      <c r="J59"/>
      <c r="K59" s="105" t="s">
        <v>185</v>
      </c>
      <c r="L59" s="84"/>
    </row>
    <row r="60" spans="2:12" ht="13.5">
      <c r="B60" s="85" t="s">
        <v>179</v>
      </c>
      <c r="C60" s="86">
        <v>2</v>
      </c>
      <c r="D60" s="86">
        <v>1</v>
      </c>
      <c r="E60" s="86" t="s">
        <v>175</v>
      </c>
      <c r="F60" s="84"/>
      <c r="G60" s="94"/>
      <c r="H60" s="84"/>
      <c r="I60"/>
      <c r="J60"/>
      <c r="K60" s="105"/>
      <c r="L60" s="84"/>
    </row>
    <row r="61" spans="2:12" ht="16.5" customHeight="1">
      <c r="B61" s="85" t="s">
        <v>183</v>
      </c>
      <c r="C61" s="86">
        <v>25</v>
      </c>
      <c r="D61" s="86">
        <v>0</v>
      </c>
      <c r="E61" s="86" t="s">
        <v>188</v>
      </c>
      <c r="F61" s="84"/>
      <c r="G61" s="106" t="s">
        <v>183</v>
      </c>
      <c r="H61" s="217" t="s">
        <v>184</v>
      </c>
      <c r="I61" s="218"/>
      <c r="J61" s="218"/>
      <c r="K61" s="95"/>
      <c r="L61" s="84"/>
    </row>
    <row r="62" spans="2:12" ht="16.5" customHeight="1">
      <c r="G62" s="107" t="s">
        <v>176</v>
      </c>
      <c r="H62" s="211" t="s">
        <v>466</v>
      </c>
      <c r="I62" s="212"/>
      <c r="J62" s="213"/>
      <c r="K62" s="93"/>
    </row>
    <row r="63" spans="2:12" ht="3" customHeight="1">
      <c r="G63"/>
      <c r="H63"/>
      <c r="I63"/>
      <c r="J63"/>
      <c r="K63" s="84"/>
    </row>
  </sheetData>
  <mergeCells count="12">
    <mergeCell ref="H62:J62"/>
    <mergeCell ref="G41:K41"/>
    <mergeCell ref="H46:J46"/>
    <mergeCell ref="H15:K15"/>
    <mergeCell ref="H16:J16"/>
    <mergeCell ref="H17:J17"/>
    <mergeCell ref="G55:K55"/>
    <mergeCell ref="H61:J61"/>
    <mergeCell ref="H47:J47"/>
    <mergeCell ref="H21:J21"/>
    <mergeCell ref="H19:K19"/>
    <mergeCell ref="H20:J2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theme="6" tint="0.59999389629810485"/>
  </sheetPr>
  <dimension ref="A1:O63"/>
  <sheetViews>
    <sheetView showGridLines="0" zoomScaleNormal="100" workbookViewId="0">
      <pane ySplit="4" topLeftCell="A39" activePane="bottomLeft" state="frozen"/>
      <selection activeCell="B4" sqref="B4"/>
      <selection pane="bottomLeft" activeCell="K62" sqref="K62"/>
    </sheetView>
  </sheetViews>
  <sheetFormatPr defaultColWidth="0" defaultRowHeight="12.6" customHeight="1" zeroHeight="1"/>
  <cols>
    <col min="1" max="1" width="1.5" style="23" customWidth="1"/>
    <col min="2" max="2" width="10.625" style="23" customWidth="1"/>
    <col min="3" max="3" width="13.625" style="23" customWidth="1"/>
    <col min="4" max="5" width="12.375" style="23" customWidth="1"/>
    <col min="6" max="6" width="1.625" style="23" customWidth="1"/>
    <col min="7" max="10" width="14.625" style="23" customWidth="1"/>
    <col min="11" max="11" width="30.625" style="23" customWidth="1"/>
    <col min="12" max="12" width="1.5" style="23" customWidth="1"/>
    <col min="13" max="14" width="9" style="23" hidden="1" customWidth="1"/>
    <col min="15" max="16384" width="9" style="23" hidden="1"/>
  </cols>
  <sheetData>
    <row r="1" spans="2:15" customFormat="1" ht="3" customHeight="1"/>
    <row r="2" spans="2:15" customFormat="1" ht="23.25">
      <c r="B2" s="79" t="s">
        <v>238</v>
      </c>
    </row>
    <row r="3" spans="2:15" customFormat="1" ht="23.25">
      <c r="B3" s="80" t="s">
        <v>464</v>
      </c>
    </row>
    <row r="4" spans="2:15" customFormat="1" ht="3" customHeight="1"/>
    <row r="5" spans="2:15" customFormat="1" ht="0.95" customHeight="1">
      <c r="B5" s="81"/>
      <c r="C5" s="81"/>
      <c r="D5" s="81"/>
      <c r="E5" s="81"/>
      <c r="F5" s="81"/>
      <c r="G5" s="81"/>
      <c r="H5" s="81"/>
      <c r="I5" s="81"/>
      <c r="J5" s="81"/>
      <c r="K5" s="81"/>
      <c r="L5" s="81"/>
      <c r="M5" s="81"/>
      <c r="N5" s="81"/>
      <c r="O5" s="81"/>
    </row>
    <row r="6" spans="2:15" customFormat="1" ht="3" customHeight="1"/>
    <row r="7" spans="2:15" ht="12.75"/>
    <row r="8" spans="2:15" ht="12.75"/>
    <row r="9" spans="2:15" ht="12.75"/>
    <row r="10" spans="2:15" ht="12.75"/>
    <row r="11" spans="2:15" ht="12.75"/>
    <row r="12" spans="2:15" ht="12.75"/>
    <row r="13" spans="2:15" ht="12.75"/>
    <row r="14" spans="2:15" ht="3" customHeight="1"/>
    <row r="15" spans="2:15" ht="30" customHeight="1">
      <c r="B15" s="89" t="s">
        <v>66</v>
      </c>
      <c r="C15" s="90" t="s">
        <v>168</v>
      </c>
      <c r="D15" s="90" t="s">
        <v>169</v>
      </c>
      <c r="E15" s="91" t="s">
        <v>170</v>
      </c>
      <c r="F15" s="195"/>
      <c r="G15" s="195"/>
      <c r="H15" s="219" t="s">
        <v>240</v>
      </c>
      <c r="I15" s="220"/>
      <c r="J15" s="220"/>
      <c r="K15" s="221"/>
      <c r="L15" s="195"/>
    </row>
    <row r="16" spans="2:15" ht="13.5">
      <c r="B16" s="85" t="s">
        <v>171</v>
      </c>
      <c r="C16" s="86">
        <v>10</v>
      </c>
      <c r="D16" s="86">
        <v>60</v>
      </c>
      <c r="E16" s="86" t="s">
        <v>172</v>
      </c>
      <c r="F16" s="195"/>
      <c r="G16" s="196"/>
      <c r="H16" s="229" t="s">
        <v>173</v>
      </c>
      <c r="I16" s="223"/>
      <c r="J16" s="223"/>
      <c r="K16" s="197">
        <f t="shared" ref="K16" si="0">VLOOKUP("Thomas",$B$16:$E$21,2,0)</f>
        <v>14</v>
      </c>
      <c r="L16" s="195"/>
    </row>
    <row r="17" spans="2:15" ht="13.5">
      <c r="B17" s="85" t="s">
        <v>174</v>
      </c>
      <c r="C17" s="86">
        <v>16</v>
      </c>
      <c r="D17" s="86">
        <v>2</v>
      </c>
      <c r="E17" s="86" t="s">
        <v>175</v>
      </c>
      <c r="F17" s="195"/>
      <c r="G17" s="195"/>
      <c r="H17" s="228" t="s">
        <v>177</v>
      </c>
      <c r="I17" s="225"/>
      <c r="J17" s="225"/>
      <c r="K17" s="198" t="str">
        <f>VLOOKUP("Timothy",$B$16:$E$21,4,0)</f>
        <v>No</v>
      </c>
      <c r="L17" s="195"/>
    </row>
    <row r="18" spans="2:15" ht="13.5">
      <c r="B18" s="85" t="s">
        <v>176</v>
      </c>
      <c r="C18" s="86">
        <v>14</v>
      </c>
      <c r="D18" s="86">
        <v>22</v>
      </c>
      <c r="E18" s="86" t="s">
        <v>172</v>
      </c>
      <c r="F18" s="195"/>
      <c r="G18" s="199"/>
      <c r="L18" s="195"/>
    </row>
    <row r="19" spans="2:15" ht="13.5">
      <c r="B19" s="85" t="s">
        <v>178</v>
      </c>
      <c r="C19" s="86">
        <v>37</v>
      </c>
      <c r="D19" s="86">
        <v>57</v>
      </c>
      <c r="E19" s="86" t="s">
        <v>172</v>
      </c>
      <c r="F19" s="195"/>
      <c r="G19" s="195"/>
      <c r="H19" s="219" t="s">
        <v>465</v>
      </c>
      <c r="I19" s="220"/>
      <c r="J19" s="220"/>
      <c r="K19" s="221"/>
      <c r="L19" s="195"/>
    </row>
    <row r="20" spans="2:15" ht="13.5">
      <c r="B20" s="85" t="s">
        <v>179</v>
      </c>
      <c r="C20" s="86">
        <v>38</v>
      </c>
      <c r="D20" s="86">
        <v>55</v>
      </c>
      <c r="E20" s="86" t="s">
        <v>175</v>
      </c>
      <c r="F20" s="195"/>
      <c r="G20" s="195"/>
      <c r="H20" s="229" t="s">
        <v>174</v>
      </c>
      <c r="I20" s="223"/>
      <c r="J20" s="223"/>
      <c r="K20" s="197" t="str">
        <f>VLOOKUP(H20,$B$15:$E$21,4,FALSE)</f>
        <v>No</v>
      </c>
      <c r="L20" s="195"/>
    </row>
    <row r="21" spans="2:15" ht="13.5">
      <c r="B21" s="85" t="s">
        <v>180</v>
      </c>
      <c r="C21" s="86">
        <v>2</v>
      </c>
      <c r="D21" s="86">
        <v>24</v>
      </c>
      <c r="E21" s="86" t="s">
        <v>175</v>
      </c>
      <c r="F21" s="195"/>
      <c r="G21" s="195"/>
      <c r="H21" s="228" t="s">
        <v>178</v>
      </c>
      <c r="I21" s="225"/>
      <c r="J21" s="225"/>
      <c r="K21" s="197" t="str">
        <f>VLOOKUP(H21,$B$15:$E$21,4,FALSE)</f>
        <v>Yes</v>
      </c>
      <c r="L21" s="195"/>
    </row>
    <row r="22" spans="2:15" customFormat="1" ht="3" customHeight="1"/>
    <row r="23" spans="2:15" customFormat="1" ht="0.95" customHeight="1">
      <c r="B23" s="81"/>
      <c r="C23" s="81"/>
      <c r="D23" s="81"/>
      <c r="E23" s="81"/>
      <c r="F23" s="81"/>
      <c r="G23" s="81"/>
      <c r="H23" s="81"/>
      <c r="I23" s="81"/>
      <c r="J23" s="81"/>
      <c r="K23" s="81"/>
      <c r="L23" s="81"/>
      <c r="M23" s="81"/>
      <c r="N23" s="81"/>
      <c r="O23" s="81"/>
    </row>
    <row r="24" spans="2:15" customFormat="1" ht="3" customHeight="1"/>
    <row r="25" spans="2:15" ht="12.75"/>
    <row r="26" spans="2:15" ht="12.75"/>
    <row r="27" spans="2:15" ht="12.75"/>
    <row r="28" spans="2:15" ht="12.75"/>
    <row r="29" spans="2:15" ht="12.75"/>
    <row r="30" spans="2:15" ht="12.75"/>
    <row r="31" spans="2:15" ht="12.75"/>
    <row r="32" spans="2:15" ht="12.75"/>
    <row r="33" spans="2:15" ht="12.75"/>
    <row r="34" spans="2:15" ht="12.75"/>
    <row r="35" spans="2:15" ht="12.75"/>
    <row r="36" spans="2:15" ht="12.75"/>
    <row r="37" spans="2:15" ht="12.75"/>
    <row r="38" spans="2:15" ht="12.75"/>
    <row r="39" spans="2:15" ht="12.75"/>
    <row r="40" spans="2:15" ht="3" customHeight="1"/>
    <row r="41" spans="2:15" ht="30" customHeight="1">
      <c r="B41" s="89" t="s">
        <v>66</v>
      </c>
      <c r="C41" s="90" t="s">
        <v>185</v>
      </c>
      <c r="D41" s="90" t="s">
        <v>186</v>
      </c>
      <c r="E41" s="91" t="s">
        <v>187</v>
      </c>
      <c r="F41" s="195"/>
      <c r="G41" s="214" t="s">
        <v>240</v>
      </c>
      <c r="H41" s="215"/>
      <c r="I41" s="215"/>
      <c r="J41" s="215"/>
      <c r="K41" s="216"/>
      <c r="L41" s="195"/>
    </row>
    <row r="42" spans="2:15" ht="13.9">
      <c r="B42" s="85" t="s">
        <v>171</v>
      </c>
      <c r="C42" s="86">
        <v>1</v>
      </c>
      <c r="D42" s="86">
        <v>1</v>
      </c>
      <c r="E42" s="86" t="s">
        <v>175</v>
      </c>
      <c r="F42" s="195"/>
      <c r="G42" s="96" t="s">
        <v>241</v>
      </c>
      <c r="H42" s="195"/>
      <c r="I42"/>
      <c r="J42"/>
      <c r="K42" s="104" t="s">
        <v>255</v>
      </c>
      <c r="L42" s="195"/>
    </row>
    <row r="43" spans="2:15" ht="16.5" customHeight="1">
      <c r="B43" s="85" t="s">
        <v>174</v>
      </c>
      <c r="C43" s="86">
        <v>2</v>
      </c>
      <c r="D43" s="86">
        <v>6</v>
      </c>
      <c r="E43" s="86" t="s">
        <v>175</v>
      </c>
      <c r="F43" s="195"/>
      <c r="G43" s="200"/>
      <c r="H43" s="195"/>
      <c r="I43"/>
      <c r="J43"/>
      <c r="K43" s="105" t="s">
        <v>467</v>
      </c>
      <c r="L43" s="195"/>
    </row>
    <row r="44" spans="2:15" ht="16.5" customHeight="1">
      <c r="B44" s="85" t="s">
        <v>176</v>
      </c>
      <c r="C44" s="86">
        <v>4</v>
      </c>
      <c r="D44" s="86">
        <v>4</v>
      </c>
      <c r="E44" s="86" t="s">
        <v>175</v>
      </c>
      <c r="F44" s="195"/>
      <c r="G44" s="200"/>
      <c r="H44" s="195"/>
      <c r="I44"/>
      <c r="J44"/>
      <c r="K44" s="105"/>
      <c r="L44" s="195"/>
    </row>
    <row r="45" spans="2:15" ht="16.5" customHeight="1">
      <c r="B45" s="85" t="s">
        <v>178</v>
      </c>
      <c r="C45" s="86">
        <v>1</v>
      </c>
      <c r="D45" s="86">
        <v>2</v>
      </c>
      <c r="E45" s="86" t="s">
        <v>175</v>
      </c>
      <c r="F45" s="195"/>
      <c r="G45" s="200"/>
      <c r="H45" s="195"/>
      <c r="I45"/>
      <c r="J45"/>
      <c r="K45" s="105"/>
      <c r="L45" s="195"/>
    </row>
    <row r="46" spans="2:15" ht="13.5">
      <c r="B46" s="85" t="s">
        <v>179</v>
      </c>
      <c r="C46" s="86">
        <v>2</v>
      </c>
      <c r="D46" s="86">
        <v>1</v>
      </c>
      <c r="E46" s="86" t="s">
        <v>175</v>
      </c>
      <c r="F46" s="195"/>
      <c r="G46" s="106" t="s">
        <v>183</v>
      </c>
      <c r="H46" s="217" t="s">
        <v>184</v>
      </c>
      <c r="I46" s="218"/>
      <c r="J46" s="218"/>
      <c r="K46" s="201">
        <f ca="1">VLOOKUP(G46,INDIRECT($K$43),MATCH("# Hours Working Out",INDIRECT($K$42),0),FALSE)</f>
        <v>25</v>
      </c>
      <c r="L46" s="195"/>
    </row>
    <row r="47" spans="2:15" ht="13.5">
      <c r="B47" s="85" t="s">
        <v>183</v>
      </c>
      <c r="C47" s="86">
        <v>25</v>
      </c>
      <c r="D47" s="86">
        <v>0</v>
      </c>
      <c r="E47" s="86" t="s">
        <v>188</v>
      </c>
      <c r="F47" s="195"/>
      <c r="G47" s="107" t="s">
        <v>176</v>
      </c>
      <c r="H47" s="211" t="s">
        <v>466</v>
      </c>
      <c r="I47" s="212"/>
      <c r="J47" s="213"/>
      <c r="K47" s="201">
        <f ca="1">VLOOKUP(G47,INDIRECT($K$43),MATCH("# Hours Working Out",INDIRECT($K$42),0),FALSE)</f>
        <v>4</v>
      </c>
      <c r="L47" s="195"/>
    </row>
    <row r="48" spans="2:15" customFormat="1" ht="0.95" customHeight="1">
      <c r="B48" s="81"/>
      <c r="C48" s="81"/>
      <c r="D48" s="81"/>
      <c r="E48" s="81"/>
      <c r="F48" s="81"/>
      <c r="G48" s="81"/>
      <c r="H48" s="81"/>
      <c r="I48" s="81"/>
      <c r="J48" s="81"/>
      <c r="K48" s="81"/>
      <c r="L48" s="81"/>
      <c r="M48" s="81"/>
      <c r="N48" s="81"/>
      <c r="O48" s="81"/>
    </row>
    <row r="49" spans="2:12" customFormat="1" ht="3" customHeight="1"/>
    <row r="50" spans="2:12" ht="12.75"/>
    <row r="51" spans="2:12" ht="12.75"/>
    <row r="52" spans="2:12" ht="12.75"/>
    <row r="53" spans="2:12" ht="12.75"/>
    <row r="54" spans="2:12" ht="3" customHeight="1"/>
    <row r="55" spans="2:12" ht="30" customHeight="1">
      <c r="B55" s="89" t="s">
        <v>66</v>
      </c>
      <c r="C55" s="90" t="s">
        <v>185</v>
      </c>
      <c r="D55" s="90" t="s">
        <v>186</v>
      </c>
      <c r="E55" s="91" t="s">
        <v>187</v>
      </c>
      <c r="F55" s="195"/>
      <c r="G55" s="214" t="s">
        <v>240</v>
      </c>
      <c r="H55" s="215"/>
      <c r="I55" s="215"/>
      <c r="J55" s="215"/>
      <c r="K55" s="216"/>
      <c r="L55" s="195"/>
    </row>
    <row r="56" spans="2:12" ht="13.9">
      <c r="B56" s="85" t="s">
        <v>171</v>
      </c>
      <c r="C56" s="86">
        <v>1</v>
      </c>
      <c r="D56" s="86">
        <v>1</v>
      </c>
      <c r="E56" s="86" t="s">
        <v>175</v>
      </c>
      <c r="F56" s="195"/>
      <c r="G56" s="96" t="s">
        <v>241</v>
      </c>
      <c r="H56" s="195"/>
      <c r="I56"/>
      <c r="J56"/>
      <c r="K56" s="104" t="s">
        <v>467</v>
      </c>
      <c r="L56" s="195"/>
    </row>
    <row r="57" spans="2:12" ht="16.5" customHeight="1">
      <c r="B57" s="85" t="s">
        <v>174</v>
      </c>
      <c r="C57" s="86">
        <v>2</v>
      </c>
      <c r="D57" s="86">
        <v>6</v>
      </c>
      <c r="E57" s="86" t="s">
        <v>175</v>
      </c>
      <c r="F57" s="195"/>
      <c r="G57" s="96"/>
      <c r="H57" s="195"/>
      <c r="I57"/>
      <c r="J57"/>
      <c r="K57" s="105" t="s">
        <v>256</v>
      </c>
      <c r="L57" s="195"/>
    </row>
    <row r="58" spans="2:12" ht="16.5" customHeight="1">
      <c r="B58" s="85" t="s">
        <v>176</v>
      </c>
      <c r="C58" s="86">
        <v>4</v>
      </c>
      <c r="D58" s="86">
        <v>4</v>
      </c>
      <c r="E58" s="86" t="s">
        <v>175</v>
      </c>
      <c r="F58" s="195"/>
      <c r="G58" s="96"/>
      <c r="H58" s="195"/>
      <c r="I58"/>
      <c r="J58"/>
      <c r="K58" s="105" t="s">
        <v>255</v>
      </c>
      <c r="L58" s="195"/>
    </row>
    <row r="59" spans="2:12" ht="16.5" customHeight="1">
      <c r="B59" s="85" t="s">
        <v>178</v>
      </c>
      <c r="C59" s="86">
        <v>1</v>
      </c>
      <c r="D59" s="86">
        <v>2</v>
      </c>
      <c r="E59" s="86" t="s">
        <v>175</v>
      </c>
      <c r="F59" s="195"/>
      <c r="G59" s="200"/>
      <c r="H59" s="195"/>
      <c r="I59"/>
      <c r="J59"/>
      <c r="K59" s="105" t="s">
        <v>185</v>
      </c>
      <c r="L59" s="195"/>
    </row>
    <row r="60" spans="2:12" ht="13.5">
      <c r="B60" s="85" t="s">
        <v>179</v>
      </c>
      <c r="C60" s="86">
        <v>2</v>
      </c>
      <c r="D60" s="86">
        <v>1</v>
      </c>
      <c r="E60" s="86" t="s">
        <v>175</v>
      </c>
      <c r="F60" s="195"/>
      <c r="G60" s="200"/>
      <c r="H60" s="195"/>
      <c r="I60"/>
      <c r="J60"/>
      <c r="K60" s="105"/>
      <c r="L60" s="195"/>
    </row>
    <row r="61" spans="2:12" ht="16.5" customHeight="1">
      <c r="B61" s="85" t="s">
        <v>183</v>
      </c>
      <c r="C61" s="86">
        <v>25</v>
      </c>
      <c r="D61" s="86">
        <v>0</v>
      </c>
      <c r="E61" s="86" t="s">
        <v>188</v>
      </c>
      <c r="F61" s="195"/>
      <c r="G61" s="106" t="s">
        <v>183</v>
      </c>
      <c r="H61" s="217" t="s">
        <v>184</v>
      </c>
      <c r="I61" s="218"/>
      <c r="J61" s="218"/>
      <c r="K61" s="201">
        <f ca="1">INDEX(INDIRECT($K$56),MATCH(G61,INDIRECT($K$57),0),MATCH($K$59,INDIRECT($K$58),0))</f>
        <v>25</v>
      </c>
      <c r="L61" s="195"/>
    </row>
    <row r="62" spans="2:12" ht="16.5" customHeight="1">
      <c r="G62" s="107" t="s">
        <v>176</v>
      </c>
      <c r="H62" s="211" t="s">
        <v>466</v>
      </c>
      <c r="I62" s="212"/>
      <c r="J62" s="213"/>
      <c r="K62" s="198">
        <f ca="1">MATCH($K$59,INDIRECT($K$58),0)</f>
        <v>2</v>
      </c>
    </row>
    <row r="63" spans="2:12" ht="3" customHeight="1">
      <c r="G63"/>
      <c r="H63"/>
      <c r="I63"/>
      <c r="J63"/>
      <c r="K63" s="195"/>
    </row>
  </sheetData>
  <mergeCells count="12">
    <mergeCell ref="H62:J62"/>
    <mergeCell ref="H15:K15"/>
    <mergeCell ref="H16:J16"/>
    <mergeCell ref="H17:J17"/>
    <mergeCell ref="H19:K19"/>
    <mergeCell ref="H20:J20"/>
    <mergeCell ref="H21:J21"/>
    <mergeCell ref="G41:K41"/>
    <mergeCell ref="H46:J46"/>
    <mergeCell ref="H47:J47"/>
    <mergeCell ref="G55:K55"/>
    <mergeCell ref="H61:J6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6"/>
  </sheetPr>
  <dimension ref="A1:O26"/>
  <sheetViews>
    <sheetView showGridLines="0" zoomScaleNormal="100" workbookViewId="0">
      <pane ySplit="4" topLeftCell="A8" activePane="bottomLeft" state="frozen"/>
      <selection activeCell="B4" sqref="B4"/>
      <selection pane="bottomLeft" activeCell="B23" sqref="B23:C23"/>
    </sheetView>
  </sheetViews>
  <sheetFormatPr defaultColWidth="0" defaultRowHeight="14.25" customHeight="1" zeroHeight="1"/>
  <cols>
    <col min="1" max="1" width="1.5" customWidth="1"/>
    <col min="2" max="2" width="39" customWidth="1"/>
    <col min="3" max="3" width="80.625" customWidth="1"/>
    <col min="4" max="4" width="1.5" customWidth="1"/>
    <col min="5" max="15" width="0" hidden="1" customWidth="1"/>
    <col min="16" max="16384" width="9" hidden="1"/>
  </cols>
  <sheetData>
    <row r="1" spans="2:3" ht="3" customHeight="1"/>
    <row r="2" spans="2:3" ht="23.25">
      <c r="B2" s="79" t="s">
        <v>238</v>
      </c>
    </row>
    <row r="3" spans="2:3" ht="23.25">
      <c r="B3" s="80" t="s">
        <v>242</v>
      </c>
    </row>
    <row r="4" spans="2:3" ht="3" customHeight="1"/>
    <row r="5" spans="2:3" ht="0.95" customHeight="1">
      <c r="B5" s="81"/>
      <c r="C5" s="81"/>
    </row>
    <row r="6" spans="2:3" ht="3" customHeight="1"/>
    <row r="7" spans="2:3" s="1" customFormat="1" ht="30" customHeight="1">
      <c r="B7" s="206" t="s">
        <v>247</v>
      </c>
      <c r="C7" s="206"/>
    </row>
    <row r="8" spans="2:3" s="1" customFormat="1" ht="3" customHeight="1">
      <c r="B8" s="82"/>
    </row>
    <row r="9" spans="2:3" s="1" customFormat="1" ht="13.5">
      <c r="B9" s="101" t="s">
        <v>2</v>
      </c>
      <c r="C9" s="102" t="s">
        <v>3</v>
      </c>
    </row>
    <row r="10" spans="2:3" s="1" customFormat="1" ht="13.5">
      <c r="B10" s="99" t="s">
        <v>58</v>
      </c>
      <c r="C10" s="100" t="s">
        <v>49</v>
      </c>
    </row>
    <row r="11" spans="2:3" s="1" customFormat="1" ht="13.5">
      <c r="B11" s="97" t="s">
        <v>59</v>
      </c>
      <c r="C11" s="98" t="s">
        <v>50</v>
      </c>
    </row>
    <row r="12" spans="2:3" s="1" customFormat="1" ht="13.5">
      <c r="B12" s="99" t="s">
        <v>60</v>
      </c>
      <c r="C12" s="100" t="s">
        <v>51</v>
      </c>
    </row>
    <row r="13" spans="2:3" s="1" customFormat="1" ht="13.5">
      <c r="B13" s="99" t="s">
        <v>61</v>
      </c>
      <c r="C13" s="100" t="s">
        <v>468</v>
      </c>
    </row>
    <row r="14" spans="2:3" s="1" customFormat="1" ht="13.5">
      <c r="B14" s="99" t="s">
        <v>62</v>
      </c>
      <c r="C14" s="100" t="s">
        <v>52</v>
      </c>
    </row>
    <row r="15" spans="2:3" s="1" customFormat="1" ht="13.5">
      <c r="B15" s="99" t="s">
        <v>63</v>
      </c>
      <c r="C15" s="100" t="s">
        <v>53</v>
      </c>
    </row>
    <row r="16" spans="2:3" s="1" customFormat="1" ht="13.5">
      <c r="B16" s="99" t="s">
        <v>64</v>
      </c>
      <c r="C16" s="100" t="s">
        <v>54</v>
      </c>
    </row>
    <row r="17" spans="2:3" s="1" customFormat="1" ht="13.5">
      <c r="B17" s="99" t="s">
        <v>47</v>
      </c>
      <c r="C17" s="100" t="s">
        <v>55</v>
      </c>
    </row>
    <row r="18" spans="2:3" s="1" customFormat="1" ht="13.5">
      <c r="B18" s="99" t="s">
        <v>48</v>
      </c>
      <c r="C18" s="100" t="s">
        <v>56</v>
      </c>
    </row>
    <row r="19" spans="2:3" s="1" customFormat="1" ht="13.5">
      <c r="B19" s="99" t="s">
        <v>65</v>
      </c>
      <c r="C19" s="100" t="s">
        <v>57</v>
      </c>
    </row>
    <row r="20" spans="2:3" s="1" customFormat="1" ht="3.95" customHeight="1">
      <c r="B20" s="83"/>
    </row>
    <row r="21" spans="2:3" s="1" customFormat="1" ht="105" customHeight="1">
      <c r="B21" s="230" t="s">
        <v>248</v>
      </c>
      <c r="C21" s="230"/>
    </row>
    <row r="22" spans="2:3" s="1" customFormat="1" ht="3" customHeight="1">
      <c r="B22" s="83"/>
    </row>
    <row r="23" spans="2:3" s="1" customFormat="1" ht="90" customHeight="1">
      <c r="B23" s="230" t="s">
        <v>249</v>
      </c>
      <c r="C23" s="230"/>
    </row>
    <row r="24" spans="2:3" ht="3" customHeight="1"/>
    <row r="25" spans="2:3" ht="0.95" customHeight="1">
      <c r="B25" s="81"/>
      <c r="C25" s="81"/>
    </row>
    <row r="26" spans="2:3" ht="3" customHeight="1"/>
  </sheetData>
  <mergeCells count="3">
    <mergeCell ref="B7:C7"/>
    <mergeCell ref="B21:C21"/>
    <mergeCell ref="B23:C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tabColor theme="6" tint="0.59999389629810485"/>
  </sheetPr>
  <dimension ref="A1:G25"/>
  <sheetViews>
    <sheetView showGridLines="0" zoomScaleNormal="100" workbookViewId="0">
      <selection activeCell="F10" sqref="F10"/>
    </sheetView>
  </sheetViews>
  <sheetFormatPr defaultColWidth="0" defaultRowHeight="13.5" zeroHeight="1"/>
  <cols>
    <col min="1" max="1" width="1.5" customWidth="1"/>
    <col min="2" max="2" width="36.5" customWidth="1"/>
    <col min="3" max="3" width="20.6875" customWidth="1"/>
    <col min="4" max="4" width="18.5" customWidth="1"/>
    <col min="5" max="5" width="33.6875" customWidth="1"/>
    <col min="6" max="6" width="33.875" customWidth="1"/>
    <col min="7" max="7" width="1.5" customWidth="1"/>
    <col min="8" max="16384" width="7.625" hidden="1"/>
  </cols>
  <sheetData>
    <row r="1" spans="2:6" ht="3" customHeight="1"/>
    <row r="2" spans="2:6" ht="23.25">
      <c r="B2" s="79" t="s">
        <v>238</v>
      </c>
    </row>
    <row r="3" spans="2:6" ht="23.25">
      <c r="B3" s="80" t="s">
        <v>469</v>
      </c>
    </row>
    <row r="4" spans="2:6" ht="3" customHeight="1">
      <c r="B4" s="72"/>
      <c r="C4" s="72"/>
      <c r="D4" s="72"/>
      <c r="E4" s="72"/>
      <c r="F4" s="72"/>
    </row>
    <row r="5" spans="2:6" ht="0.95" customHeight="1">
      <c r="B5" s="103"/>
      <c r="C5" s="103"/>
      <c r="D5" s="103"/>
      <c r="E5" s="103"/>
      <c r="F5" s="103"/>
    </row>
    <row r="6" spans="2:6" ht="3" customHeight="1">
      <c r="B6" s="72"/>
      <c r="C6" s="72"/>
      <c r="D6" s="72"/>
      <c r="E6" s="72"/>
      <c r="F6" s="72"/>
    </row>
    <row r="7" spans="2:6"/>
    <row r="8" spans="2:6"/>
    <row r="9" spans="2:6" ht="3" customHeight="1"/>
    <row r="10" spans="2:6" ht="27.75">
      <c r="B10" s="27" t="s">
        <v>23</v>
      </c>
      <c r="C10" s="25" t="s">
        <v>182</v>
      </c>
      <c r="D10" s="25" t="s">
        <v>67</v>
      </c>
      <c r="E10" s="25" t="s">
        <v>181</v>
      </c>
      <c r="F10" s="26" t="s">
        <v>492</v>
      </c>
    </row>
    <row r="11" spans="2:6">
      <c r="B11" s="202" t="s">
        <v>474</v>
      </c>
      <c r="C11" s="29">
        <v>5231.3614469967397</v>
      </c>
      <c r="D11" s="29">
        <v>1445.42045646222</v>
      </c>
      <c r="E11" s="117"/>
      <c r="F11" s="116"/>
    </row>
    <row r="12" spans="2:6">
      <c r="B12" s="202" t="s">
        <v>475</v>
      </c>
      <c r="C12" s="29">
        <v>1530.1386121372</v>
      </c>
      <c r="D12" s="29">
        <v>91.256291325372501</v>
      </c>
      <c r="E12" s="117"/>
      <c r="F12" s="116"/>
    </row>
    <row r="13" spans="2:6">
      <c r="B13" s="202" t="s">
        <v>476</v>
      </c>
      <c r="C13" s="29">
        <v>3200.5338021366902</v>
      </c>
      <c r="D13" s="29">
        <v>825.25535379453299</v>
      </c>
      <c r="E13" s="117"/>
      <c r="F13" s="116"/>
    </row>
    <row r="14" spans="2:6">
      <c r="B14" s="202" t="s">
        <v>477</v>
      </c>
      <c r="C14" s="29">
        <v>2307.58028897641</v>
      </c>
      <c r="D14" s="29">
        <v>6710.7470640481597</v>
      </c>
      <c r="E14" s="117"/>
      <c r="F14" s="116"/>
    </row>
    <row r="15" spans="2:6">
      <c r="B15" s="202" t="s">
        <v>478</v>
      </c>
      <c r="C15" s="29">
        <v>10392.068995098</v>
      </c>
      <c r="D15" s="29">
        <v>3621.7</v>
      </c>
      <c r="E15" s="117"/>
      <c r="F15" s="116"/>
    </row>
    <row r="16" spans="2:6">
      <c r="B16" s="202" t="s">
        <v>479</v>
      </c>
      <c r="C16" s="29">
        <v>10014.732776036</v>
      </c>
      <c r="D16" s="29">
        <v>4125.6278804826297</v>
      </c>
      <c r="E16" s="117"/>
      <c r="F16" s="116"/>
    </row>
    <row r="17" spans="2:6">
      <c r="B17" s="202" t="s">
        <v>480</v>
      </c>
      <c r="C17" s="29">
        <v>6614.0256969579405</v>
      </c>
      <c r="D17" s="29">
        <v>2282.1873471077502</v>
      </c>
      <c r="E17" s="117"/>
      <c r="F17" s="116"/>
    </row>
    <row r="18" spans="2:6">
      <c r="B18" s="202" t="s">
        <v>481</v>
      </c>
      <c r="C18" s="29">
        <v>93941.397071325497</v>
      </c>
      <c r="D18" s="29">
        <v>30912</v>
      </c>
      <c r="E18" s="117"/>
      <c r="F18" s="116"/>
    </row>
    <row r="19" spans="2:6">
      <c r="B19" s="202" t="s">
        <v>482</v>
      </c>
      <c r="C19" s="29">
        <v>4083.50601451187</v>
      </c>
      <c r="D19" s="29">
        <v>2149.1</v>
      </c>
      <c r="E19" s="117"/>
      <c r="F19" s="116"/>
    </row>
    <row r="20" spans="2:6">
      <c r="B20" s="202" t="s">
        <v>483</v>
      </c>
      <c r="C20" s="29">
        <v>1237.70751372937</v>
      </c>
      <c r="D20" s="29">
        <v>222.12251793453001</v>
      </c>
      <c r="E20" s="117"/>
      <c r="F20" s="116"/>
    </row>
    <row r="21" spans="2:6">
      <c r="B21" s="202" t="s">
        <v>484</v>
      </c>
      <c r="C21" s="29">
        <v>935.48326671064206</v>
      </c>
      <c r="D21" s="29">
        <v>322.55636267830897</v>
      </c>
      <c r="E21" s="117"/>
      <c r="F21" s="116"/>
    </row>
    <row r="22" spans="2:6" ht="3" customHeight="1"/>
    <row r="23" spans="2:6" ht="27.75">
      <c r="B23" s="27" t="s">
        <v>23</v>
      </c>
      <c r="C23" s="26" t="s">
        <v>181</v>
      </c>
    </row>
    <row r="24" spans="2:6">
      <c r="B24" s="202" t="s">
        <v>480</v>
      </c>
      <c r="C24" s="115"/>
    </row>
    <row r="25" spans="2:6" ht="3" customHeight="1"/>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theme="6" tint="0.59999389629810485"/>
  </sheetPr>
  <dimension ref="A1:G30"/>
  <sheetViews>
    <sheetView showGridLines="0" zoomScaleNormal="100" workbookViewId="0">
      <selection activeCell="D16" sqref="D16"/>
    </sheetView>
  </sheetViews>
  <sheetFormatPr defaultColWidth="0" defaultRowHeight="14.25" customHeight="1" zeroHeight="1"/>
  <cols>
    <col min="1" max="1" width="1.5" customWidth="1"/>
    <col min="2" max="2" width="36.5" customWidth="1"/>
    <col min="3" max="3" width="20.6875" customWidth="1"/>
    <col min="4" max="4" width="18.5" customWidth="1"/>
    <col min="5" max="5" width="33.6875" customWidth="1"/>
    <col min="6" max="6" width="33.875" customWidth="1"/>
    <col min="7" max="7" width="1.5" customWidth="1"/>
    <col min="8" max="16384" width="7.625" hidden="1"/>
  </cols>
  <sheetData>
    <row r="1" spans="2:6" ht="3" customHeight="1"/>
    <row r="2" spans="2:6" ht="23.25">
      <c r="B2" s="79" t="s">
        <v>238</v>
      </c>
    </row>
    <row r="3" spans="2:6" ht="23.25">
      <c r="B3" s="80" t="s">
        <v>469</v>
      </c>
    </row>
    <row r="4" spans="2:6" ht="3" customHeight="1">
      <c r="B4" s="72"/>
      <c r="C4" s="72"/>
      <c r="D4" s="72"/>
      <c r="E4" s="72"/>
      <c r="F4" s="72"/>
    </row>
    <row r="5" spans="2:6" ht="0.95" customHeight="1">
      <c r="B5" s="103"/>
      <c r="C5" s="103"/>
      <c r="D5" s="103"/>
      <c r="E5" s="103"/>
      <c r="F5" s="103"/>
    </row>
    <row r="6" spans="2:6" ht="3" customHeight="1">
      <c r="B6" s="72"/>
      <c r="C6" s="72"/>
      <c r="D6" s="72"/>
      <c r="E6" s="72"/>
      <c r="F6" s="72"/>
    </row>
    <row r="7" spans="2:6" ht="13.5"/>
    <row r="8" spans="2:6" ht="13.5"/>
    <row r="9" spans="2:6" ht="3" customHeight="1"/>
    <row r="10" spans="2:6" ht="27.75">
      <c r="B10" s="27" t="s">
        <v>23</v>
      </c>
      <c r="C10" s="25" t="s">
        <v>182</v>
      </c>
      <c r="D10" s="25" t="s">
        <v>67</v>
      </c>
      <c r="E10" s="25" t="s">
        <v>181</v>
      </c>
      <c r="F10" s="26" t="s">
        <v>492</v>
      </c>
    </row>
    <row r="11" spans="2:6" ht="13.5">
      <c r="B11" s="202" t="s">
        <v>474</v>
      </c>
      <c r="C11" s="29">
        <v>5231.3614469967397</v>
      </c>
      <c r="D11" s="29">
        <v>1445.42045646222</v>
      </c>
      <c r="E11" s="30" t="str">
        <f>IF($C11&gt;5000,"Yes","No")</f>
        <v>Yes</v>
      </c>
      <c r="F11" s="30" t="str">
        <f>IF(AND(C11&gt;5000,D11&gt;2000),"Yes","No")</f>
        <v>No</v>
      </c>
    </row>
    <row r="12" spans="2:6" ht="13.5">
      <c r="B12" s="202" t="s">
        <v>475</v>
      </c>
      <c r="C12" s="29">
        <v>1530.1386121372</v>
      </c>
      <c r="D12" s="29">
        <v>91.256291325372501</v>
      </c>
      <c r="E12" s="30" t="str">
        <f t="shared" ref="E12:E21" si="0">IF($C12&gt;5000,"Yes","No")</f>
        <v>No</v>
      </c>
      <c r="F12" s="30" t="str">
        <f t="shared" ref="F12:F21" si="1">IF(AND(C12&gt;5000,D12&gt;2000),"Yes","No")</f>
        <v>No</v>
      </c>
    </row>
    <row r="13" spans="2:6" ht="13.5">
      <c r="B13" s="202" t="s">
        <v>476</v>
      </c>
      <c r="C13" s="29">
        <v>3200.5338021366902</v>
      </c>
      <c r="D13" s="29">
        <v>825.25535379453299</v>
      </c>
      <c r="E13" s="30" t="str">
        <f t="shared" si="0"/>
        <v>No</v>
      </c>
      <c r="F13" s="30" t="str">
        <f t="shared" si="1"/>
        <v>No</v>
      </c>
    </row>
    <row r="14" spans="2:6" ht="13.5">
      <c r="B14" s="202" t="s">
        <v>477</v>
      </c>
      <c r="C14" s="29">
        <v>2307.58028897641</v>
      </c>
      <c r="D14" s="29">
        <v>6710.7470640481597</v>
      </c>
      <c r="E14" s="30" t="str">
        <f t="shared" si="0"/>
        <v>No</v>
      </c>
      <c r="F14" s="30" t="str">
        <f t="shared" si="1"/>
        <v>No</v>
      </c>
    </row>
    <row r="15" spans="2:6" ht="13.5">
      <c r="B15" s="202" t="s">
        <v>478</v>
      </c>
      <c r="C15" s="29">
        <v>10392.068995098</v>
      </c>
      <c r="D15" s="29">
        <v>3621.7</v>
      </c>
      <c r="E15" s="30" t="str">
        <f t="shared" si="0"/>
        <v>Yes</v>
      </c>
      <c r="F15" s="30" t="str">
        <f t="shared" si="1"/>
        <v>Yes</v>
      </c>
    </row>
    <row r="16" spans="2:6" ht="13.5">
      <c r="B16" s="202" t="s">
        <v>479</v>
      </c>
      <c r="C16" s="29">
        <v>10014.732776036</v>
      </c>
      <c r="D16" s="29">
        <v>4125.6278804826297</v>
      </c>
      <c r="E16" s="30" t="str">
        <f t="shared" si="0"/>
        <v>Yes</v>
      </c>
      <c r="F16" s="30" t="str">
        <f t="shared" si="1"/>
        <v>Yes</v>
      </c>
    </row>
    <row r="17" spans="2:6" ht="13.5">
      <c r="B17" s="202" t="s">
        <v>480</v>
      </c>
      <c r="C17" s="29">
        <v>6614.0256969579405</v>
      </c>
      <c r="D17" s="29">
        <v>2282.1873471077502</v>
      </c>
      <c r="E17" s="30" t="str">
        <f t="shared" si="0"/>
        <v>Yes</v>
      </c>
      <c r="F17" s="30" t="str">
        <f t="shared" si="1"/>
        <v>Yes</v>
      </c>
    </row>
    <row r="18" spans="2:6" ht="13.5">
      <c r="B18" s="202" t="s">
        <v>481</v>
      </c>
      <c r="C18" s="29">
        <v>93941.397071325497</v>
      </c>
      <c r="D18" s="29">
        <v>30912</v>
      </c>
      <c r="E18" s="30" t="str">
        <f t="shared" si="0"/>
        <v>Yes</v>
      </c>
      <c r="F18" s="30" t="str">
        <f t="shared" si="1"/>
        <v>Yes</v>
      </c>
    </row>
    <row r="19" spans="2:6" ht="13.5">
      <c r="B19" s="202" t="s">
        <v>482</v>
      </c>
      <c r="C19" s="29">
        <v>4083.50601451187</v>
      </c>
      <c r="D19" s="29">
        <v>2149.1</v>
      </c>
      <c r="E19" s="30" t="str">
        <f t="shared" si="0"/>
        <v>No</v>
      </c>
      <c r="F19" s="30" t="str">
        <f t="shared" si="1"/>
        <v>No</v>
      </c>
    </row>
    <row r="20" spans="2:6" ht="13.5">
      <c r="B20" s="202" t="s">
        <v>483</v>
      </c>
      <c r="C20" s="29">
        <v>1237.70751372937</v>
      </c>
      <c r="D20" s="29">
        <v>222.12251793453001</v>
      </c>
      <c r="E20" s="30" t="str">
        <f t="shared" si="0"/>
        <v>No</v>
      </c>
      <c r="F20" s="30" t="str">
        <f t="shared" si="1"/>
        <v>No</v>
      </c>
    </row>
    <row r="21" spans="2:6" ht="13.5">
      <c r="B21" s="202" t="s">
        <v>484</v>
      </c>
      <c r="C21" s="29">
        <v>935.48326671064206</v>
      </c>
      <c r="D21" s="29">
        <v>322.55636267830897</v>
      </c>
      <c r="E21" s="30" t="str">
        <f t="shared" si="0"/>
        <v>No</v>
      </c>
      <c r="F21" s="30" t="str">
        <f t="shared" si="1"/>
        <v>No</v>
      </c>
    </row>
    <row r="22" spans="2:6" ht="3" customHeight="1">
      <c r="B22" s="202" t="s">
        <v>485</v>
      </c>
    </row>
    <row r="23" spans="2:6" ht="27.75">
      <c r="B23" s="27" t="s">
        <v>23</v>
      </c>
      <c r="C23" s="26" t="s">
        <v>181</v>
      </c>
    </row>
    <row r="24" spans="2:6" ht="13.5">
      <c r="B24" s="202" t="s">
        <v>483</v>
      </c>
      <c r="C24" s="31" t="str">
        <f>IF(INDEX($B$11:$D$21,MATCH($B24,$B$11:$B$21,0),MATCH("Market Cap",$B$10:$D$10,0))&gt;5000,"Yes","No")</f>
        <v>No</v>
      </c>
    </row>
    <row r="25" spans="2:6" ht="3" customHeight="1"/>
    <row r="26" spans="2:6" ht="13.5" hidden="1"/>
    <row r="27" spans="2:6" ht="13.5" hidden="1"/>
    <row r="28" spans="2:6" ht="13.5" hidden="1"/>
    <row r="29" spans="2:6" ht="13.5" hidden="1"/>
    <row r="30" spans="2:6" ht="13.5" hidden="1"/>
  </sheetData>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sheetPr>
  <dimension ref="A1:P43"/>
  <sheetViews>
    <sheetView showGridLines="0" zoomScale="70" zoomScaleNormal="70" workbookViewId="0">
      <selection activeCell="C39" sqref="C39"/>
    </sheetView>
  </sheetViews>
  <sheetFormatPr defaultColWidth="0" defaultRowHeight="13.5" zeroHeight="1"/>
  <cols>
    <col min="1" max="1" width="1.5" style="1" customWidth="1"/>
    <col min="2" max="2" width="36.375" style="1" customWidth="1"/>
    <col min="3" max="4" width="32.6875" style="1" customWidth="1"/>
    <col min="5" max="5" width="11.875" style="1" customWidth="1"/>
    <col min="6" max="6" width="63" style="1" customWidth="1"/>
    <col min="7" max="10" width="9" style="1" customWidth="1"/>
    <col min="11" max="11" width="13.375" style="1" customWidth="1"/>
    <col min="12" max="14" width="9" style="1" customWidth="1"/>
    <col min="15" max="16" width="0" style="1" hidden="1" customWidth="1"/>
    <col min="17" max="16384" width="8" style="1" hidden="1"/>
  </cols>
  <sheetData>
    <row r="1" spans="2:14" customFormat="1" ht="3" customHeight="1"/>
    <row r="2" spans="2:14" customFormat="1" ht="23.25">
      <c r="B2" s="79" t="s">
        <v>238</v>
      </c>
    </row>
    <row r="3" spans="2:14" customFormat="1" ht="23.25">
      <c r="B3" s="80" t="s">
        <v>257</v>
      </c>
    </row>
    <row r="4" spans="2:14" customFormat="1" ht="3" customHeight="1">
      <c r="B4" s="72"/>
      <c r="C4" s="72"/>
      <c r="D4" s="72"/>
      <c r="E4" s="72"/>
      <c r="F4" s="72"/>
      <c r="G4" s="72"/>
      <c r="H4" s="72"/>
      <c r="I4" s="72"/>
      <c r="J4" s="72"/>
      <c r="K4" s="72"/>
      <c r="L4" s="72"/>
      <c r="M4" s="72"/>
      <c r="N4" s="72"/>
    </row>
    <row r="5" spans="2:14" customFormat="1" ht="0.95"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row r="8" spans="2:14"/>
    <row r="9" spans="2:14"/>
    <row r="10" spans="2:14"/>
    <row r="11" spans="2:14"/>
    <row r="12" spans="2:14"/>
    <row r="13" spans="2:14" ht="17.25">
      <c r="B13" s="2" t="s">
        <v>40</v>
      </c>
      <c r="C13" s="2" t="s">
        <v>251</v>
      </c>
    </row>
    <row r="14" spans="2:14" ht="17.25">
      <c r="B14" s="2" t="s">
        <v>41</v>
      </c>
      <c r="C14" s="2" t="s">
        <v>250</v>
      </c>
    </row>
    <row r="15" spans="2:14" ht="13.9" thickBot="1"/>
    <row r="16" spans="2:14" ht="18" thickBot="1">
      <c r="B16" s="243" t="s">
        <v>2</v>
      </c>
      <c r="C16" s="244"/>
      <c r="D16" s="244"/>
      <c r="E16" s="244" t="s">
        <v>3</v>
      </c>
      <c r="F16" s="244"/>
      <c r="G16" s="244"/>
      <c r="H16" s="244"/>
      <c r="I16" s="244"/>
      <c r="J16" s="249"/>
    </row>
    <row r="17" spans="2:10" ht="17.649999999999999">
      <c r="B17" s="245" t="s">
        <v>4</v>
      </c>
      <c r="C17" s="246"/>
      <c r="D17" s="246"/>
      <c r="E17" s="250" t="s">
        <v>10</v>
      </c>
      <c r="F17" s="250"/>
      <c r="G17" s="250"/>
      <c r="H17" s="250"/>
      <c r="I17" s="250"/>
      <c r="J17" s="251"/>
    </row>
    <row r="18" spans="2:10" ht="17.25">
      <c r="B18" s="231" t="s">
        <v>5</v>
      </c>
      <c r="C18" s="232"/>
      <c r="D18" s="232"/>
      <c r="E18" s="239" t="s">
        <v>11</v>
      </c>
      <c r="F18" s="239"/>
      <c r="G18" s="239"/>
      <c r="H18" s="239"/>
      <c r="I18" s="239"/>
      <c r="J18" s="240"/>
    </row>
    <row r="19" spans="2:10" ht="17.25">
      <c r="B19" s="231" t="s">
        <v>6</v>
      </c>
      <c r="C19" s="232"/>
      <c r="D19" s="232"/>
      <c r="E19" s="239" t="s">
        <v>12</v>
      </c>
      <c r="F19" s="239"/>
      <c r="G19" s="239"/>
      <c r="H19" s="239"/>
      <c r="I19" s="239"/>
      <c r="J19" s="240"/>
    </row>
    <row r="20" spans="2:10" ht="17.649999999999999">
      <c r="B20" s="233" t="s">
        <v>7</v>
      </c>
      <c r="C20" s="234"/>
      <c r="D20" s="234"/>
      <c r="E20" s="239" t="s">
        <v>13</v>
      </c>
      <c r="F20" s="239"/>
      <c r="G20" s="239"/>
      <c r="H20" s="239"/>
      <c r="I20" s="239"/>
      <c r="J20" s="240"/>
    </row>
    <row r="21" spans="2:10" ht="17.25">
      <c r="B21" s="231" t="s">
        <v>8</v>
      </c>
      <c r="C21" s="232"/>
      <c r="D21" s="232"/>
      <c r="E21" s="239" t="s">
        <v>14</v>
      </c>
      <c r="F21" s="239"/>
      <c r="G21" s="239"/>
      <c r="H21" s="239"/>
      <c r="I21" s="239"/>
      <c r="J21" s="240"/>
    </row>
    <row r="22" spans="2:10" ht="17.25">
      <c r="B22" s="231" t="s">
        <v>9</v>
      </c>
      <c r="C22" s="232"/>
      <c r="D22" s="232"/>
      <c r="E22" s="239" t="s">
        <v>15</v>
      </c>
      <c r="F22" s="239"/>
      <c r="G22" s="239"/>
      <c r="H22" s="239"/>
      <c r="I22" s="239"/>
      <c r="J22" s="240"/>
    </row>
    <row r="23" spans="2:10" ht="17.25">
      <c r="B23" s="231" t="s">
        <v>19</v>
      </c>
      <c r="C23" s="232"/>
      <c r="D23" s="232"/>
      <c r="E23" s="239" t="s">
        <v>16</v>
      </c>
      <c r="F23" s="239"/>
      <c r="G23" s="239"/>
      <c r="H23" s="239"/>
      <c r="I23" s="239"/>
      <c r="J23" s="240"/>
    </row>
    <row r="24" spans="2:10" ht="17.649999999999999">
      <c r="B24" s="233" t="s">
        <v>20</v>
      </c>
      <c r="C24" s="234"/>
      <c r="D24" s="234"/>
      <c r="E24" s="239" t="s">
        <v>17</v>
      </c>
      <c r="F24" s="239"/>
      <c r="G24" s="239"/>
      <c r="H24" s="239"/>
      <c r="I24" s="239"/>
      <c r="J24" s="240"/>
    </row>
    <row r="25" spans="2:10" ht="17.25">
      <c r="B25" s="231" t="s">
        <v>21</v>
      </c>
      <c r="C25" s="232"/>
      <c r="D25" s="232"/>
      <c r="E25" s="239" t="s">
        <v>18</v>
      </c>
      <c r="F25" s="239"/>
      <c r="G25" s="239"/>
      <c r="H25" s="239"/>
      <c r="I25" s="239"/>
      <c r="J25" s="240"/>
    </row>
    <row r="26" spans="2:10" ht="17.649999999999999">
      <c r="B26" s="189" t="s">
        <v>214</v>
      </c>
      <c r="C26" s="146"/>
      <c r="D26" s="146"/>
      <c r="E26" s="2" t="s">
        <v>217</v>
      </c>
      <c r="F26" s="2"/>
      <c r="G26" s="2"/>
      <c r="H26" s="2"/>
      <c r="I26" s="2"/>
      <c r="J26" s="15"/>
    </row>
    <row r="27" spans="2:10" ht="17.649999999999999">
      <c r="B27" s="189" t="s">
        <v>213</v>
      </c>
      <c r="C27" s="146"/>
      <c r="D27" s="146"/>
      <c r="E27" s="2" t="s">
        <v>42</v>
      </c>
      <c r="F27" s="2"/>
      <c r="G27" s="2"/>
      <c r="H27" s="2"/>
      <c r="I27" s="2"/>
      <c r="J27" s="15"/>
    </row>
    <row r="28" spans="2:10" ht="17.649999999999999">
      <c r="B28" s="189" t="s">
        <v>43</v>
      </c>
      <c r="C28" s="146"/>
      <c r="D28" s="146"/>
      <c r="E28" s="2" t="s">
        <v>45</v>
      </c>
      <c r="F28" s="2"/>
      <c r="G28" s="2"/>
      <c r="H28" s="2"/>
      <c r="I28" s="2"/>
      <c r="J28" s="15"/>
    </row>
    <row r="29" spans="2:10" ht="17.649999999999999">
      <c r="B29" s="189" t="s">
        <v>276</v>
      </c>
      <c r="C29" s="146"/>
      <c r="D29" s="146"/>
      <c r="E29" s="2" t="s">
        <v>278</v>
      </c>
      <c r="F29" s="2"/>
      <c r="G29" s="2"/>
      <c r="H29" s="2"/>
      <c r="I29" s="2"/>
      <c r="J29" s="15"/>
    </row>
    <row r="30" spans="2:10" ht="17.649999999999999">
      <c r="B30" s="189" t="s">
        <v>277</v>
      </c>
      <c r="C30" s="146"/>
      <c r="D30" s="146"/>
      <c r="E30" s="2" t="s">
        <v>279</v>
      </c>
      <c r="F30" s="2"/>
      <c r="G30" s="2"/>
      <c r="H30" s="2"/>
      <c r="I30" s="2"/>
      <c r="J30" s="15"/>
    </row>
    <row r="31" spans="2:10" ht="18" thickBot="1">
      <c r="B31" s="235" t="s">
        <v>228</v>
      </c>
      <c r="C31" s="236"/>
      <c r="D31" s="236"/>
      <c r="E31" s="247" t="s">
        <v>229</v>
      </c>
      <c r="F31" s="247"/>
      <c r="G31" s="247"/>
      <c r="H31" s="247"/>
      <c r="I31" s="247"/>
      <c r="J31" s="248"/>
    </row>
    <row r="32" spans="2:10" ht="13.9" thickBot="1"/>
    <row r="33" spans="2:11" ht="14.25" thickBot="1">
      <c r="B33" s="7" t="s">
        <v>22</v>
      </c>
      <c r="C33" s="237" t="s">
        <v>25</v>
      </c>
      <c r="D33" s="237"/>
      <c r="E33" s="237"/>
      <c r="F33" s="237"/>
      <c r="G33" s="237"/>
      <c r="H33" s="237"/>
      <c r="I33" s="237"/>
      <c r="J33" s="237"/>
      <c r="K33" s="238"/>
    </row>
    <row r="34" spans="2:11" ht="17.25">
      <c r="B34" s="8" t="s">
        <v>26</v>
      </c>
      <c r="C34" s="241" t="s">
        <v>39</v>
      </c>
      <c r="D34" s="241"/>
      <c r="E34" s="241"/>
      <c r="F34" s="241"/>
      <c r="G34" s="241"/>
      <c r="H34" s="241"/>
      <c r="I34" s="241"/>
      <c r="J34" s="241"/>
      <c r="K34" s="242"/>
    </row>
    <row r="35" spans="2:11" ht="17.25">
      <c r="B35" s="9" t="s">
        <v>33</v>
      </c>
      <c r="C35" s="1" t="s">
        <v>34</v>
      </c>
      <c r="K35" s="11"/>
    </row>
    <row r="36" spans="2:11" ht="17.25">
      <c r="B36" s="9" t="s">
        <v>35</v>
      </c>
      <c r="C36" s="1" t="s">
        <v>36</v>
      </c>
      <c r="K36" s="11"/>
    </row>
    <row r="37" spans="2:11" ht="17.649999999999999" thickBot="1">
      <c r="B37" s="10" t="s">
        <v>37</v>
      </c>
      <c r="C37" s="12" t="s">
        <v>38</v>
      </c>
      <c r="D37" s="12"/>
      <c r="E37" s="12"/>
      <c r="F37" s="12"/>
      <c r="G37" s="12"/>
      <c r="H37" s="12"/>
      <c r="I37" s="12"/>
      <c r="J37" s="12"/>
      <c r="K37" s="13"/>
    </row>
    <row r="38" spans="2:11" ht="17.25">
      <c r="B38" s="8" t="s">
        <v>218</v>
      </c>
      <c r="C38" s="32" t="s">
        <v>219</v>
      </c>
      <c r="D38" s="32"/>
      <c r="E38" s="32"/>
      <c r="F38" s="32"/>
      <c r="G38" s="32"/>
      <c r="H38" s="32"/>
      <c r="I38" s="32"/>
      <c r="J38" s="32"/>
      <c r="K38" s="33"/>
    </row>
    <row r="39" spans="2:11" ht="17.25">
      <c r="B39" s="9" t="s">
        <v>44</v>
      </c>
      <c r="C39" s="1" t="s">
        <v>46</v>
      </c>
      <c r="K39" s="11"/>
    </row>
    <row r="40" spans="2:11" ht="17.649999999999999" thickBot="1">
      <c r="B40" s="10" t="s">
        <v>230</v>
      </c>
      <c r="C40" s="12" t="s">
        <v>231</v>
      </c>
      <c r="D40" s="12"/>
      <c r="E40" s="12"/>
      <c r="F40" s="12"/>
      <c r="G40" s="12"/>
      <c r="H40" s="12"/>
      <c r="I40" s="12"/>
      <c r="J40" s="12"/>
      <c r="K40" s="13"/>
    </row>
    <row r="41" spans="2:11" ht="17.25">
      <c r="B41" s="2"/>
      <c r="C41" s="16"/>
    </row>
    <row r="42" spans="2:11"/>
    <row r="43" spans="2:11"/>
  </sheetData>
  <mergeCells count="24">
    <mergeCell ref="C34:K34"/>
    <mergeCell ref="B16:D16"/>
    <mergeCell ref="B17:D17"/>
    <mergeCell ref="B18:D18"/>
    <mergeCell ref="B19:D19"/>
    <mergeCell ref="B20:D20"/>
    <mergeCell ref="B21:D21"/>
    <mergeCell ref="E23:J23"/>
    <mergeCell ref="E24:J24"/>
    <mergeCell ref="E31:J31"/>
    <mergeCell ref="E16:J16"/>
    <mergeCell ref="E17:J17"/>
    <mergeCell ref="E18:J18"/>
    <mergeCell ref="E19:J19"/>
    <mergeCell ref="E20:J20"/>
    <mergeCell ref="E21:J21"/>
    <mergeCell ref="B22:D22"/>
    <mergeCell ref="B23:D23"/>
    <mergeCell ref="B24:D24"/>
    <mergeCell ref="B31:D31"/>
    <mergeCell ref="C33:K33"/>
    <mergeCell ref="E22:J22"/>
    <mergeCell ref="B25:D25"/>
    <mergeCell ref="E25:J25"/>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theme="6" tint="0.59999389629810485"/>
  </sheetPr>
  <dimension ref="A1:P70"/>
  <sheetViews>
    <sheetView showGridLines="0" topLeftCell="A3" zoomScale="90" zoomScaleNormal="90" workbookViewId="0">
      <selection activeCell="B14" sqref="B14"/>
    </sheetView>
  </sheetViews>
  <sheetFormatPr defaultColWidth="0" defaultRowHeight="0" customHeight="1" zeroHeight="1"/>
  <cols>
    <col min="1" max="1" width="6.1875" style="1" customWidth="1"/>
    <col min="2" max="2" width="36.375" style="1" customWidth="1"/>
    <col min="3" max="4" width="32.6875" style="1" customWidth="1"/>
    <col min="5" max="5" width="11.875" style="1" customWidth="1"/>
    <col min="6" max="6" width="63" style="1" customWidth="1"/>
    <col min="7" max="7" width="2.5" style="1" customWidth="1"/>
    <col min="8" max="16" width="0" style="1" hidden="1" customWidth="1"/>
    <col min="17" max="16384" width="8" style="1" hidden="1"/>
  </cols>
  <sheetData>
    <row r="1" spans="2:6" customFormat="1" ht="3" customHeight="1"/>
    <row r="2" spans="2:6" customFormat="1" ht="23.25">
      <c r="B2" s="79" t="s">
        <v>238</v>
      </c>
    </row>
    <row r="3" spans="2:6" customFormat="1" ht="23.25">
      <c r="B3" s="80" t="s">
        <v>470</v>
      </c>
    </row>
    <row r="4" spans="2:6" customFormat="1" ht="3" customHeight="1">
      <c r="B4" s="72"/>
      <c r="C4" s="72"/>
      <c r="D4" s="72"/>
      <c r="E4" s="72"/>
      <c r="F4" s="72"/>
    </row>
    <row r="5" spans="2:6" customFormat="1" ht="0.95" customHeight="1">
      <c r="B5" s="103"/>
      <c r="C5" s="103"/>
      <c r="D5" s="103"/>
      <c r="E5" s="103"/>
      <c r="F5" s="103"/>
    </row>
    <row r="6" spans="2:6" customFormat="1" ht="3" customHeight="1">
      <c r="B6" s="72"/>
      <c r="C6" s="72"/>
      <c r="D6" s="72"/>
      <c r="E6" s="72"/>
      <c r="F6" s="72"/>
    </row>
    <row r="7" spans="2:6" ht="17.25">
      <c r="B7" s="2"/>
      <c r="C7" s="16"/>
    </row>
    <row r="8" spans="2:6" ht="17.649999999999999" thickBot="1">
      <c r="B8" s="2"/>
      <c r="C8" s="16"/>
    </row>
    <row r="9" spans="2:6" ht="17.25">
      <c r="B9" s="8" t="s">
        <v>29</v>
      </c>
      <c r="C9" s="118"/>
    </row>
    <row r="10" spans="2:6" ht="17.649999999999999" thickBot="1">
      <c r="B10" s="10" t="s">
        <v>31</v>
      </c>
      <c r="C10" s="119"/>
    </row>
    <row r="11" spans="2:6" ht="13.9" thickBot="1"/>
    <row r="12" spans="2:6" ht="14.25" thickBot="1">
      <c r="B12" s="18" t="s">
        <v>23</v>
      </c>
      <c r="C12" s="108" t="s">
        <v>0</v>
      </c>
      <c r="D12" s="109" t="s">
        <v>24</v>
      </c>
      <c r="E12" s="110" t="s">
        <v>30</v>
      </c>
      <c r="F12" s="110" t="s">
        <v>32</v>
      </c>
    </row>
    <row r="13" spans="2:6" ht="13.5">
      <c r="B13" s="204" t="s">
        <v>474</v>
      </c>
      <c r="C13" s="34">
        <v>5231.3614469967397</v>
      </c>
      <c r="D13" s="35">
        <v>1445.42045646222</v>
      </c>
      <c r="E13" s="19">
        <v>1</v>
      </c>
      <c r="F13" s="120"/>
    </row>
    <row r="14" spans="2:6" ht="13.5">
      <c r="B14" s="205" t="s">
        <v>475</v>
      </c>
      <c r="C14" s="36">
        <v>1530.1386121372</v>
      </c>
      <c r="D14" s="37">
        <v>91.256291325372501</v>
      </c>
      <c r="E14" s="21">
        <v>1</v>
      </c>
      <c r="F14" s="121"/>
    </row>
    <row r="15" spans="2:6" ht="13.5">
      <c r="B15" s="205" t="s">
        <v>476</v>
      </c>
      <c r="C15" s="36">
        <v>3200.5338021366902</v>
      </c>
      <c r="D15" s="37">
        <v>825.25535379453299</v>
      </c>
      <c r="E15" s="21">
        <v>1</v>
      </c>
      <c r="F15" s="121"/>
    </row>
    <row r="16" spans="2:6" ht="13.5">
      <c r="B16" s="205" t="s">
        <v>477</v>
      </c>
      <c r="C16" s="36">
        <v>2307.58028897641</v>
      </c>
      <c r="D16" s="37">
        <v>6710.7470640481597</v>
      </c>
      <c r="E16" s="21">
        <v>1</v>
      </c>
      <c r="F16" s="121"/>
    </row>
    <row r="17" spans="1:6" ht="13.5">
      <c r="B17" s="205" t="s">
        <v>478</v>
      </c>
      <c r="C17" s="36">
        <v>10392.068995098</v>
      </c>
      <c r="D17" s="37">
        <v>3621.7</v>
      </c>
      <c r="E17" s="21">
        <v>1</v>
      </c>
      <c r="F17" s="121"/>
    </row>
    <row r="18" spans="1:6" ht="13.5">
      <c r="B18" s="205" t="s">
        <v>479</v>
      </c>
      <c r="C18" s="36">
        <v>10014.732776036</v>
      </c>
      <c r="D18" s="37">
        <v>4125.6278804826297</v>
      </c>
      <c r="E18" s="21">
        <v>1.5</v>
      </c>
      <c r="F18" s="121"/>
    </row>
    <row r="19" spans="1:6" ht="13.5">
      <c r="B19" s="205" t="s">
        <v>480</v>
      </c>
      <c r="C19" s="36">
        <v>6614.0256969579405</v>
      </c>
      <c r="D19" s="37">
        <v>2282.1873471077502</v>
      </c>
      <c r="E19" s="21">
        <v>1.5</v>
      </c>
      <c r="F19" s="121"/>
    </row>
    <row r="20" spans="1:6" ht="13.5">
      <c r="B20" s="205" t="s">
        <v>481</v>
      </c>
      <c r="C20" s="36">
        <v>93941.397071325497</v>
      </c>
      <c r="D20" s="37">
        <v>30912</v>
      </c>
      <c r="E20" s="21">
        <v>1.5</v>
      </c>
      <c r="F20" s="121"/>
    </row>
    <row r="21" spans="1:6" ht="13.5">
      <c r="B21" s="205" t="s">
        <v>482</v>
      </c>
      <c r="C21" s="36">
        <v>4083.50601451187</v>
      </c>
      <c r="D21" s="37">
        <v>2149.1</v>
      </c>
      <c r="E21" s="21">
        <v>1.5</v>
      </c>
      <c r="F21" s="121"/>
    </row>
    <row r="22" spans="1:6" ht="13.5">
      <c r="B22" s="205" t="s">
        <v>483</v>
      </c>
      <c r="C22" s="36">
        <v>1237.70751372937</v>
      </c>
      <c r="D22" s="37">
        <v>222.12251793453001</v>
      </c>
      <c r="E22" s="21">
        <v>2</v>
      </c>
      <c r="F22" s="121"/>
    </row>
    <row r="23" spans="1:6" ht="13.5">
      <c r="B23" s="205" t="s">
        <v>484</v>
      </c>
      <c r="C23" s="36">
        <v>935.48326671064206</v>
      </c>
      <c r="D23" s="37">
        <v>322.55636267830897</v>
      </c>
      <c r="E23" s="21">
        <v>3</v>
      </c>
      <c r="F23" s="121"/>
    </row>
    <row r="24" spans="1:6" ht="13.5">
      <c r="B24" s="205" t="s">
        <v>485</v>
      </c>
      <c r="C24" s="36">
        <v>7717.3724741062697</v>
      </c>
      <c r="D24" s="37">
        <v>5635.3620565771598</v>
      </c>
      <c r="E24" s="21">
        <v>3</v>
      </c>
      <c r="F24" s="121"/>
    </row>
    <row r="25" spans="1:6" ht="13.5">
      <c r="B25" s="205" t="s">
        <v>486</v>
      </c>
      <c r="C25" s="36">
        <v>828.53128726524903</v>
      </c>
      <c r="D25" s="37">
        <v>876.72949768084504</v>
      </c>
      <c r="E25" s="21">
        <v>3</v>
      </c>
      <c r="F25" s="121"/>
    </row>
    <row r="26" spans="1:6" ht="13.5">
      <c r="B26" s="205" t="s">
        <v>487</v>
      </c>
      <c r="C26" s="36">
        <v>4839.3972376739603</v>
      </c>
      <c r="D26" s="37">
        <v>2963.4712798740902</v>
      </c>
      <c r="E26" s="21">
        <v>3</v>
      </c>
      <c r="F26" s="121"/>
    </row>
    <row r="27" spans="1:6" ht="13.5">
      <c r="B27" s="205" t="s">
        <v>488</v>
      </c>
      <c r="C27" s="36">
        <v>2366.7535946078401</v>
      </c>
      <c r="D27" s="37">
        <v>8540.1657949274704</v>
      </c>
      <c r="E27" s="21">
        <v>3</v>
      </c>
      <c r="F27" s="121"/>
    </row>
    <row r="28" spans="1:6" ht="13.5">
      <c r="B28" s="205" t="s">
        <v>489</v>
      </c>
      <c r="C28" s="36">
        <v>5721.9336537715399</v>
      </c>
      <c r="D28" s="37">
        <v>5704.3393173008199</v>
      </c>
      <c r="E28" s="21">
        <v>3</v>
      </c>
      <c r="F28" s="121"/>
    </row>
    <row r="29" spans="1:6" ht="13.5">
      <c r="B29" s="205" t="s">
        <v>490</v>
      </c>
      <c r="C29" s="36">
        <v>3429.45141648559</v>
      </c>
      <c r="D29" s="37">
        <v>715.69254701240698</v>
      </c>
      <c r="E29" s="21">
        <v>3</v>
      </c>
      <c r="F29" s="121"/>
    </row>
    <row r="30" spans="1:6" ht="13.9" thickBot="1">
      <c r="B30" s="205" t="s">
        <v>491</v>
      </c>
      <c r="C30" s="38">
        <v>1914.1655149774999</v>
      </c>
      <c r="D30" s="39">
        <v>740.89608210796405</v>
      </c>
      <c r="E30" s="22">
        <v>3</v>
      </c>
      <c r="F30" s="122"/>
    </row>
    <row r="31" spans="1:6" ht="13.9" thickBot="1">
      <c r="B31" s="6" t="s">
        <v>27</v>
      </c>
      <c r="C31" s="123"/>
      <c r="D31" s="124"/>
    </row>
    <row r="32" spans="1:6" ht="13.9">
      <c r="A32" s="14">
        <v>0.75</v>
      </c>
      <c r="B32" s="4" t="s">
        <v>215</v>
      </c>
      <c r="C32" s="125"/>
      <c r="D32" s="126"/>
    </row>
    <row r="33" spans="1:4" ht="13.9">
      <c r="A33" s="14">
        <v>0.5</v>
      </c>
      <c r="B33" s="3" t="s">
        <v>28</v>
      </c>
      <c r="C33" s="127"/>
      <c r="D33" s="128"/>
    </row>
    <row r="34" spans="1:4" ht="14.25" thickBot="1">
      <c r="A34" s="14">
        <v>0.25</v>
      </c>
      <c r="B34" s="5" t="s">
        <v>216</v>
      </c>
      <c r="C34" s="129"/>
      <c r="D34" s="130"/>
    </row>
    <row r="35" spans="1:4" ht="13.5"/>
    <row r="36" spans="1:4" ht="14.25" hidden="1" customHeight="1"/>
    <row r="37" spans="1:4" ht="14.25" hidden="1" customHeight="1"/>
    <row r="38" spans="1:4" ht="14.25" hidden="1" customHeight="1"/>
    <row r="39" spans="1:4" ht="14.25" hidden="1" customHeight="1"/>
    <row r="40" spans="1:4" ht="14.25" hidden="1" customHeight="1"/>
    <row r="41" spans="1:4" ht="14.25" hidden="1" customHeight="1"/>
    <row r="42" spans="1:4" ht="14.25" hidden="1" customHeight="1"/>
    <row r="43" spans="1:4" ht="14.25" hidden="1" customHeight="1"/>
    <row r="44" spans="1:4" ht="14.25" hidden="1" customHeight="1"/>
    <row r="45" spans="1:4" ht="14.25" hidden="1" customHeight="1"/>
    <row r="46" spans="1:4" ht="14.25" hidden="1" customHeight="1"/>
    <row r="47" spans="1:4" ht="14.25" hidden="1" customHeight="1"/>
    <row r="48" spans="1:4" ht="14.25" hidden="1" customHeight="1"/>
    <row r="49" ht="14.25" hidden="1" customHeight="1"/>
    <row r="50" ht="14.25" hidden="1" customHeight="1"/>
    <row r="51" ht="14.25" hidden="1" customHeight="1"/>
    <row r="52" ht="14.25" hidden="1" customHeight="1"/>
    <row r="53" ht="14.25" hidden="1" customHeight="1"/>
    <row r="54" ht="14.25" hidden="1" customHeight="1"/>
    <row r="55" ht="14.25" hidden="1" customHeight="1"/>
    <row r="56" ht="14.25" hidden="1" customHeight="1"/>
    <row r="57" ht="14.25" hidden="1" customHeight="1"/>
    <row r="58" ht="14.25" hidden="1" customHeight="1"/>
    <row r="59" ht="14.25" hidden="1" customHeight="1"/>
    <row r="60" ht="14.25" hidden="1" customHeight="1"/>
    <row r="61" ht="14.25" hidden="1" customHeight="1"/>
    <row r="62" ht="14.25" hidden="1" customHeight="1"/>
    <row r="63" ht="14.25" hidden="1" customHeight="1"/>
    <row r="64" ht="14.25" hidden="1" customHeight="1"/>
    <row r="65" ht="14.25" hidden="1" customHeight="1"/>
    <row r="66" ht="14.25" hidden="1" customHeight="1"/>
    <row r="67" ht="14.25" hidden="1" customHeight="1"/>
    <row r="68" ht="14.25" hidden="1" customHeight="1"/>
    <row r="69" ht="14.25" hidden="1" customHeight="1"/>
    <row r="70" ht="14.25" hidden="1"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theme="6" tint="0.59999389629810485"/>
  </sheetPr>
  <dimension ref="A1:P65"/>
  <sheetViews>
    <sheetView showGridLines="0" zoomScale="90" zoomScaleNormal="90" workbookViewId="0">
      <selection activeCell="A22" sqref="A22"/>
    </sheetView>
  </sheetViews>
  <sheetFormatPr defaultColWidth="0" defaultRowHeight="0" customHeight="1" zeroHeight="1"/>
  <cols>
    <col min="1" max="1" width="6.1875" style="1" customWidth="1"/>
    <col min="2" max="2" width="36.375" style="1" customWidth="1"/>
    <col min="3" max="4" width="32.6875" style="1" customWidth="1"/>
    <col min="5" max="5" width="11.875" style="1" customWidth="1"/>
    <col min="6" max="6" width="63" style="1" customWidth="1"/>
    <col min="7" max="9" width="2.5" style="1" customWidth="1"/>
    <col min="10" max="16" width="0" style="1" hidden="1" customWidth="1"/>
    <col min="17" max="16384" width="8" style="1" hidden="1"/>
  </cols>
  <sheetData>
    <row r="1" spans="2:8" ht="17.25">
      <c r="B1" s="2"/>
      <c r="C1" s="16"/>
    </row>
    <row r="2" spans="2:8" ht="17.25">
      <c r="B2" s="2"/>
      <c r="C2" s="16"/>
    </row>
    <row r="3" spans="2:8" ht="17.649999999999999" thickBot="1">
      <c r="B3" s="2"/>
      <c r="C3" s="16"/>
    </row>
    <row r="4" spans="2:8" ht="17.25">
      <c r="B4" s="8" t="s">
        <v>29</v>
      </c>
      <c r="C4" s="17">
        <f>COUNTA($B$8:$B$25)</f>
        <v>18</v>
      </c>
    </row>
    <row r="5" spans="2:8" ht="17.649999999999999" thickBot="1">
      <c r="B5" s="10" t="s">
        <v>31</v>
      </c>
      <c r="C5" s="47">
        <f>SUMPRODUCT($D$8:$D$25,$E$8:$E$25)</f>
        <v>148839.63585736213</v>
      </c>
    </row>
    <row r="6" spans="2:8" ht="13.9" thickBot="1"/>
    <row r="7" spans="2:8" ht="14.25" thickBot="1">
      <c r="B7" s="18" t="s">
        <v>23</v>
      </c>
      <c r="C7" s="108" t="s">
        <v>0</v>
      </c>
      <c r="D7" s="109" t="s">
        <v>24</v>
      </c>
      <c r="E7" s="110" t="s">
        <v>30</v>
      </c>
      <c r="F7" s="110" t="s">
        <v>32</v>
      </c>
    </row>
    <row r="8" spans="2:8" ht="13.5">
      <c r="B8" s="204" t="s">
        <v>474</v>
      </c>
      <c r="C8" s="34">
        <v>5231.3614469967397</v>
      </c>
      <c r="D8" s="35">
        <v>1445.42045646222</v>
      </c>
      <c r="E8" s="19">
        <v>1</v>
      </c>
      <c r="F8" s="111">
        <f>ROUND($C8,0.1)</f>
        <v>5231</v>
      </c>
      <c r="H8" s="20"/>
    </row>
    <row r="9" spans="2:8" ht="13.5">
      <c r="B9" s="205" t="s">
        <v>475</v>
      </c>
      <c r="C9" s="36">
        <v>1530.1386121372</v>
      </c>
      <c r="D9" s="37">
        <v>91.256291325372501</v>
      </c>
      <c r="E9" s="21">
        <v>1</v>
      </c>
      <c r="F9" s="112">
        <f t="shared" ref="F9:F25" si="0">ROUND($C9,0.1)</f>
        <v>1530</v>
      </c>
      <c r="H9" s="20"/>
    </row>
    <row r="10" spans="2:8" ht="13.5">
      <c r="B10" s="205" t="s">
        <v>476</v>
      </c>
      <c r="C10" s="36">
        <v>3200.5338021366902</v>
      </c>
      <c r="D10" s="37">
        <v>825.25535379453299</v>
      </c>
      <c r="E10" s="21">
        <v>1</v>
      </c>
      <c r="F10" s="112">
        <f t="shared" si="0"/>
        <v>3201</v>
      </c>
      <c r="H10" s="20"/>
    </row>
    <row r="11" spans="2:8" ht="13.5">
      <c r="B11" s="205" t="s">
        <v>477</v>
      </c>
      <c r="C11" s="36">
        <v>2307.58028897641</v>
      </c>
      <c r="D11" s="37">
        <v>6710.7470640481597</v>
      </c>
      <c r="E11" s="21">
        <v>1</v>
      </c>
      <c r="F11" s="112">
        <f t="shared" si="0"/>
        <v>2308</v>
      </c>
      <c r="H11" s="20"/>
    </row>
    <row r="12" spans="2:8" ht="13.5">
      <c r="B12" s="205" t="s">
        <v>478</v>
      </c>
      <c r="C12" s="36">
        <v>10392.068995098</v>
      </c>
      <c r="D12" s="37">
        <v>3621.7</v>
      </c>
      <c r="E12" s="21">
        <v>1</v>
      </c>
      <c r="F12" s="112">
        <f t="shared" si="0"/>
        <v>10392</v>
      </c>
    </row>
    <row r="13" spans="2:8" ht="13.5">
      <c r="B13" s="205" t="s">
        <v>479</v>
      </c>
      <c r="C13" s="36">
        <v>10014.732776036</v>
      </c>
      <c r="D13" s="37">
        <v>4125.6278804826297</v>
      </c>
      <c r="E13" s="21">
        <v>1.5</v>
      </c>
      <c r="F13" s="112">
        <f t="shared" si="0"/>
        <v>10015</v>
      </c>
    </row>
    <row r="14" spans="2:8" ht="13.5">
      <c r="B14" s="205" t="s">
        <v>480</v>
      </c>
      <c r="C14" s="36">
        <v>6614.0256969579405</v>
      </c>
      <c r="D14" s="37">
        <v>2282.1873471077502</v>
      </c>
      <c r="E14" s="21">
        <v>1.5</v>
      </c>
      <c r="F14" s="112">
        <f t="shared" si="0"/>
        <v>6614</v>
      </c>
    </row>
    <row r="15" spans="2:8" ht="13.5">
      <c r="B15" s="205" t="s">
        <v>481</v>
      </c>
      <c r="C15" s="36">
        <v>93941.397071325497</v>
      </c>
      <c r="D15" s="37">
        <v>30912</v>
      </c>
      <c r="E15" s="21">
        <v>1.5</v>
      </c>
      <c r="F15" s="112">
        <f t="shared" si="0"/>
        <v>93941</v>
      </c>
    </row>
    <row r="16" spans="2:8" ht="13.5">
      <c r="B16" s="205" t="s">
        <v>482</v>
      </c>
      <c r="C16" s="36">
        <v>4083.50601451187</v>
      </c>
      <c r="D16" s="37">
        <v>2149.1</v>
      </c>
      <c r="E16" s="21">
        <v>1.5</v>
      </c>
      <c r="F16" s="112">
        <f t="shared" si="0"/>
        <v>4084</v>
      </c>
    </row>
    <row r="17" spans="1:6" ht="13.5">
      <c r="B17" s="205" t="s">
        <v>483</v>
      </c>
      <c r="C17" s="36">
        <v>1237.70751372937</v>
      </c>
      <c r="D17" s="37">
        <v>222.12251793453001</v>
      </c>
      <c r="E17" s="21">
        <v>2</v>
      </c>
      <c r="F17" s="112">
        <f t="shared" si="0"/>
        <v>1238</v>
      </c>
    </row>
    <row r="18" spans="1:6" ht="13.5">
      <c r="B18" s="205" t="s">
        <v>484</v>
      </c>
      <c r="C18" s="36">
        <v>935.48326671064206</v>
      </c>
      <c r="D18" s="37">
        <v>322.55636267830897</v>
      </c>
      <c r="E18" s="21">
        <v>3</v>
      </c>
      <c r="F18" s="112">
        <f t="shared" si="0"/>
        <v>935</v>
      </c>
    </row>
    <row r="19" spans="1:6" ht="13.5">
      <c r="B19" s="205" t="s">
        <v>485</v>
      </c>
      <c r="C19" s="36">
        <v>7717.3724741062697</v>
      </c>
      <c r="D19" s="37">
        <v>5635.3620565771598</v>
      </c>
      <c r="E19" s="21">
        <v>3</v>
      </c>
      <c r="F19" s="112">
        <f t="shared" si="0"/>
        <v>7717</v>
      </c>
    </row>
    <row r="20" spans="1:6" ht="13.5">
      <c r="B20" s="205" t="s">
        <v>486</v>
      </c>
      <c r="C20" s="36">
        <v>828.53128726524903</v>
      </c>
      <c r="D20" s="37">
        <v>876.72949768084504</v>
      </c>
      <c r="E20" s="21">
        <v>3</v>
      </c>
      <c r="F20" s="112">
        <f t="shared" si="0"/>
        <v>829</v>
      </c>
    </row>
    <row r="21" spans="1:6" ht="13.5">
      <c r="B21" s="205" t="s">
        <v>487</v>
      </c>
      <c r="C21" s="36">
        <v>4839.3972376739603</v>
      </c>
      <c r="D21" s="37">
        <v>2963.4712798740902</v>
      </c>
      <c r="E21" s="21">
        <v>3</v>
      </c>
      <c r="F21" s="112">
        <f t="shared" si="0"/>
        <v>4839</v>
      </c>
    </row>
    <row r="22" spans="1:6" ht="13.5">
      <c r="B22" s="205" t="s">
        <v>488</v>
      </c>
      <c r="C22" s="36">
        <v>2366.7535946078401</v>
      </c>
      <c r="D22" s="37">
        <v>8540.1657949274704</v>
      </c>
      <c r="E22" s="21">
        <v>3</v>
      </c>
      <c r="F22" s="112">
        <f t="shared" si="0"/>
        <v>2367</v>
      </c>
    </row>
    <row r="23" spans="1:6" ht="13.5">
      <c r="B23" s="205" t="s">
        <v>489</v>
      </c>
      <c r="C23" s="36">
        <v>5721.9336537715399</v>
      </c>
      <c r="D23" s="37">
        <v>5704.3393173008199</v>
      </c>
      <c r="E23" s="21">
        <v>3</v>
      </c>
      <c r="F23" s="112">
        <f t="shared" si="0"/>
        <v>5722</v>
      </c>
    </row>
    <row r="24" spans="1:6" ht="13.5">
      <c r="B24" s="205" t="s">
        <v>490</v>
      </c>
      <c r="C24" s="36">
        <v>3429.45141648559</v>
      </c>
      <c r="D24" s="37">
        <v>715.69254701240698</v>
      </c>
      <c r="E24" s="21">
        <v>3</v>
      </c>
      <c r="F24" s="112">
        <f t="shared" si="0"/>
        <v>3429</v>
      </c>
    </row>
    <row r="25" spans="1:6" ht="13.9" thickBot="1">
      <c r="B25" s="205" t="s">
        <v>491</v>
      </c>
      <c r="C25" s="38">
        <v>1914.1655149774999</v>
      </c>
      <c r="D25" s="39">
        <v>740.89608210796405</v>
      </c>
      <c r="E25" s="22">
        <v>3</v>
      </c>
      <c r="F25" s="113">
        <f t="shared" si="0"/>
        <v>1914</v>
      </c>
    </row>
    <row r="26" spans="1:6" ht="13.9" thickBot="1">
      <c r="B26" s="6" t="s">
        <v>27</v>
      </c>
      <c r="C26" s="40">
        <f>SUM(C$8:C$25)</f>
        <v>166306.14066350428</v>
      </c>
      <c r="D26" s="41">
        <f t="shared" ref="D26" si="1">SUM(D$8:D$25)</f>
        <v>77884.629849314268</v>
      </c>
    </row>
    <row r="27" spans="1:6" ht="13.9">
      <c r="A27" s="14">
        <v>0.75</v>
      </c>
      <c r="B27" s="4" t="s">
        <v>215</v>
      </c>
      <c r="C27" s="42">
        <f>_xlfn.PERCENTILE.EXC(C$8:C$25,$A27)</f>
        <v>6889.862391245023</v>
      </c>
      <c r="D27" s="43">
        <f t="shared" ref="D27:D29" si="2">_xlfn.PERCENTILE.EXC(D$8:D$25,$A27)</f>
        <v>5652.6063717580746</v>
      </c>
    </row>
    <row r="28" spans="1:6" ht="13.9">
      <c r="A28" s="14">
        <v>0.5</v>
      </c>
      <c r="B28" s="3" t="s">
        <v>28</v>
      </c>
      <c r="C28" s="44">
        <f t="shared" ref="C28:C29" si="3">_xlfn.PERCENTILE.EXC(C$8:C$25,$A28)</f>
        <v>3756.4787154987298</v>
      </c>
      <c r="D28" s="45">
        <f t="shared" si="2"/>
        <v>2215.643673553875</v>
      </c>
    </row>
    <row r="29" spans="1:6" ht="14.25" thickBot="1">
      <c r="A29" s="14">
        <v>0.25</v>
      </c>
      <c r="B29" s="5" t="s">
        <v>216</v>
      </c>
      <c r="C29" s="46">
        <f t="shared" si="3"/>
        <v>1818.1587892674249</v>
      </c>
      <c r="D29" s="47">
        <f t="shared" si="2"/>
        <v>734.59519833407478</v>
      </c>
    </row>
    <row r="30" spans="1:6" ht="13.5"/>
    <row r="31" spans="1:6" ht="14.25" hidden="1" customHeight="1"/>
    <row r="32" spans="1:6" ht="14.25" hidden="1" customHeight="1"/>
    <row r="33" ht="14.25" hidden="1" customHeight="1"/>
    <row r="34" ht="14.25" hidden="1" customHeight="1"/>
    <row r="35" ht="14.25" hidden="1" customHeight="1"/>
    <row r="36" ht="14.25" hidden="1" customHeight="1"/>
    <row r="37" ht="14.25" hidden="1" customHeight="1"/>
    <row r="38" ht="14.25" hidden="1" customHeight="1"/>
    <row r="39" ht="14.25" hidden="1" customHeight="1"/>
    <row r="40" ht="14.25" hidden="1" customHeight="1"/>
    <row r="41" ht="14.25" hidden="1" customHeight="1"/>
    <row r="42" ht="14.25" hidden="1" customHeight="1"/>
    <row r="43" ht="14.25" hidden="1" customHeight="1"/>
    <row r="44" ht="14.25" hidden="1" customHeight="1"/>
    <row r="45" ht="14.25" hidden="1" customHeight="1"/>
    <row r="46" ht="14.25" hidden="1" customHeight="1"/>
    <row r="47" ht="14.25" hidden="1" customHeight="1"/>
    <row r="48" ht="14.25" hidden="1" customHeight="1"/>
    <row r="49" ht="14.25" hidden="1" customHeight="1"/>
    <row r="50" ht="14.25" hidden="1" customHeight="1"/>
    <row r="51" ht="14.25" hidden="1" customHeight="1"/>
    <row r="52" ht="14.25" hidden="1" customHeight="1"/>
    <row r="53" ht="14.25" hidden="1" customHeight="1"/>
    <row r="54" ht="14.25" hidden="1" customHeight="1"/>
    <row r="55" ht="14.25" hidden="1" customHeight="1"/>
    <row r="56" ht="14.25" hidden="1" customHeight="1"/>
    <row r="57" ht="14.25" hidden="1" customHeight="1"/>
    <row r="58" ht="14.25" hidden="1" customHeight="1"/>
    <row r="59" ht="14.25" hidden="1" customHeight="1"/>
    <row r="60" ht="14.25" hidden="1" customHeight="1"/>
    <row r="61" ht="14.25" hidden="1" customHeight="1"/>
    <row r="62" ht="14.25" hidden="1" customHeight="1"/>
    <row r="63" ht="14.25" hidden="1" customHeight="1"/>
    <row r="64" ht="14.25" hidden="1" customHeight="1"/>
    <row r="65" ht="14.25" hidden="1" customHeight="1"/>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6"/>
  </sheetPr>
  <dimension ref="A1:P39"/>
  <sheetViews>
    <sheetView showGridLines="0" zoomScale="70" zoomScaleNormal="70" workbookViewId="0">
      <selection activeCell="B16" sqref="B16:D16"/>
    </sheetView>
  </sheetViews>
  <sheetFormatPr defaultColWidth="0" defaultRowHeight="14.1" customHeight="1" zeroHeight="1"/>
  <cols>
    <col min="1" max="1" width="1.5" style="1" customWidth="1"/>
    <col min="2" max="4" width="25.625" style="1" customWidth="1"/>
    <col min="5" max="10" width="22.625" style="1" customWidth="1"/>
    <col min="11" max="11" width="13.375" style="1" customWidth="1"/>
    <col min="12" max="14" width="9" style="1" customWidth="1"/>
    <col min="15" max="16" width="0" style="1" hidden="1" customWidth="1"/>
    <col min="17" max="16384" width="8" style="1" hidden="1"/>
  </cols>
  <sheetData>
    <row r="1" spans="2:14" customFormat="1" ht="3" customHeight="1"/>
    <row r="2" spans="2:14" customFormat="1" ht="23.25">
      <c r="B2" s="79" t="s">
        <v>238</v>
      </c>
    </row>
    <row r="3" spans="2:14" customFormat="1" ht="23.25">
      <c r="B3" s="80" t="s">
        <v>460</v>
      </c>
    </row>
    <row r="4" spans="2:14" customFormat="1" ht="3" customHeight="1">
      <c r="B4" s="72"/>
      <c r="C4" s="72"/>
      <c r="D4" s="72"/>
      <c r="E4" s="72"/>
      <c r="F4" s="72"/>
      <c r="G4" s="72"/>
      <c r="H4" s="72"/>
      <c r="I4" s="72"/>
      <c r="J4" s="72"/>
      <c r="K4" s="72"/>
      <c r="L4" s="72"/>
      <c r="M4" s="72"/>
      <c r="N4" s="72"/>
    </row>
    <row r="5" spans="2:14" customFormat="1" ht="0.95"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3.5"/>
    <row r="8" spans="2:14" ht="13.5"/>
    <row r="9" spans="2:14" ht="13.5"/>
    <row r="10" spans="2:14" ht="13.5"/>
    <row r="11" spans="2:14" ht="13.5"/>
    <row r="12" spans="2:14" ht="13.5"/>
    <row r="13" spans="2:14" ht="13.9" thickBot="1"/>
    <row r="14" spans="2:14" ht="18" thickBot="1">
      <c r="B14" s="243" t="s">
        <v>2</v>
      </c>
      <c r="C14" s="244"/>
      <c r="D14" s="244"/>
      <c r="E14" s="244" t="s">
        <v>3</v>
      </c>
      <c r="F14" s="244"/>
      <c r="G14" s="244"/>
      <c r="H14" s="244"/>
      <c r="I14" s="244"/>
      <c r="J14" s="249"/>
    </row>
    <row r="15" spans="2:14" ht="17.649999999999999">
      <c r="B15" s="245" t="s">
        <v>259</v>
      </c>
      <c r="C15" s="246"/>
      <c r="D15" s="246"/>
      <c r="E15" s="250" t="s">
        <v>260</v>
      </c>
      <c r="F15" s="250"/>
      <c r="G15" s="250"/>
      <c r="H15" s="250"/>
      <c r="I15" s="250"/>
      <c r="J15" s="251"/>
    </row>
    <row r="16" spans="2:14" ht="17.649999999999999">
      <c r="B16" s="233" t="s">
        <v>261</v>
      </c>
      <c r="C16" s="234"/>
      <c r="D16" s="234"/>
      <c r="E16" s="239" t="s">
        <v>262</v>
      </c>
      <c r="F16" s="239"/>
      <c r="G16" s="239"/>
      <c r="H16" s="239"/>
      <c r="I16" s="239"/>
      <c r="J16" s="240"/>
    </row>
    <row r="17" spans="2:10" ht="17.25">
      <c r="B17" s="231" t="s">
        <v>263</v>
      </c>
      <c r="C17" s="232"/>
      <c r="D17" s="232"/>
      <c r="E17" s="239" t="s">
        <v>265</v>
      </c>
      <c r="F17" s="239"/>
      <c r="G17" s="239"/>
      <c r="H17" s="239"/>
      <c r="I17" s="239"/>
      <c r="J17" s="240"/>
    </row>
    <row r="18" spans="2:10" ht="17.25">
      <c r="B18" s="231" t="s">
        <v>264</v>
      </c>
      <c r="C18" s="232"/>
      <c r="D18" s="232"/>
      <c r="E18" s="239" t="s">
        <v>266</v>
      </c>
      <c r="F18" s="239"/>
      <c r="G18" s="239"/>
      <c r="H18" s="239"/>
      <c r="I18" s="239"/>
      <c r="J18" s="240"/>
    </row>
    <row r="19" spans="2:10" ht="17.25">
      <c r="B19" s="231" t="s">
        <v>267</v>
      </c>
      <c r="C19" s="232"/>
      <c r="D19" s="232"/>
      <c r="E19" s="239" t="s">
        <v>268</v>
      </c>
      <c r="F19" s="239"/>
      <c r="G19" s="239"/>
      <c r="H19" s="239"/>
      <c r="I19" s="239"/>
      <c r="J19" s="240"/>
    </row>
    <row r="20" spans="2:10" ht="17.25">
      <c r="B20" s="231" t="s">
        <v>269</v>
      </c>
      <c r="C20" s="232"/>
      <c r="D20" s="232"/>
      <c r="E20" s="239" t="s">
        <v>270</v>
      </c>
      <c r="F20" s="239"/>
      <c r="G20" s="239"/>
      <c r="H20" s="239"/>
      <c r="I20" s="239"/>
      <c r="J20" s="240"/>
    </row>
    <row r="21" spans="2:10" ht="17.649999999999999">
      <c r="B21" s="233" t="s">
        <v>271</v>
      </c>
      <c r="C21" s="234"/>
      <c r="D21" s="234"/>
      <c r="E21" s="239" t="s">
        <v>272</v>
      </c>
      <c r="F21" s="239"/>
      <c r="G21" s="239"/>
      <c r="H21" s="239"/>
      <c r="I21" s="239"/>
      <c r="J21" s="240"/>
    </row>
    <row r="22" spans="2:10" ht="17.649999999999999" thickBot="1">
      <c r="B22" s="252" t="s">
        <v>274</v>
      </c>
      <c r="C22" s="253"/>
      <c r="D22" s="253"/>
      <c r="E22" s="247" t="s">
        <v>275</v>
      </c>
      <c r="F22" s="247"/>
      <c r="G22" s="247"/>
      <c r="H22" s="247"/>
      <c r="I22" s="247"/>
      <c r="J22" s="248"/>
    </row>
    <row r="23" spans="2:10" ht="13.5">
      <c r="B23" s="147"/>
    </row>
    <row r="24" spans="2:10" ht="17.25">
      <c r="B24" s="2"/>
      <c r="C24" s="16"/>
    </row>
    <row r="25" spans="2:10" ht="14.1" customHeight="1"/>
    <row r="26" spans="2:10" ht="14.1" customHeight="1"/>
    <row r="27" spans="2:10" ht="14.1" customHeight="1"/>
    <row r="28" spans="2:10" ht="14.1" customHeight="1"/>
    <row r="29" spans="2:10" ht="14.1" customHeight="1">
      <c r="D29" s="177"/>
    </row>
    <row r="30" spans="2:10" ht="14.1" customHeight="1">
      <c r="D30" s="177"/>
    </row>
    <row r="31" spans="2:10" ht="14.1" customHeight="1">
      <c r="D31" s="177"/>
    </row>
    <row r="32" spans="2:10" ht="14.1" customHeight="1">
      <c r="D32" s="177"/>
      <c r="E32" s="177"/>
    </row>
    <row r="33" spans="4:5" ht="14.1" customHeight="1">
      <c r="D33" s="177"/>
      <c r="E33" s="177"/>
    </row>
    <row r="34" spans="4:5" ht="14.1" customHeight="1">
      <c r="D34" s="177"/>
    </row>
    <row r="35" spans="4:5" ht="14.1" customHeight="1">
      <c r="D35" s="177"/>
    </row>
    <row r="36" spans="4:5" ht="14.1" customHeight="1"/>
    <row r="37" spans="4:5" ht="14.1" customHeight="1"/>
    <row r="38" spans="4:5" ht="14.1" customHeight="1"/>
    <row r="39" spans="4:5" ht="14.1" customHeight="1"/>
  </sheetData>
  <mergeCells count="18">
    <mergeCell ref="B20:D20"/>
    <mergeCell ref="E20:J20"/>
    <mergeCell ref="B21:D21"/>
    <mergeCell ref="E21:J21"/>
    <mergeCell ref="B22:D22"/>
    <mergeCell ref="E22:J22"/>
    <mergeCell ref="B17:D17"/>
    <mergeCell ref="E17:J17"/>
    <mergeCell ref="B18:D18"/>
    <mergeCell ref="E18:J18"/>
    <mergeCell ref="B19:D19"/>
    <mergeCell ref="E19:J19"/>
    <mergeCell ref="B14:D14"/>
    <mergeCell ref="E14:J14"/>
    <mergeCell ref="B15:D15"/>
    <mergeCell ref="E15:J15"/>
    <mergeCell ref="B16:D16"/>
    <mergeCell ref="E16:J16"/>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7030A0"/>
  </sheetPr>
  <dimension ref="A1:P49"/>
  <sheetViews>
    <sheetView showGridLines="0" zoomScale="70" zoomScaleNormal="70" workbookViewId="0">
      <selection activeCell="E29" sqref="E29"/>
    </sheetView>
  </sheetViews>
  <sheetFormatPr defaultColWidth="0" defaultRowHeight="0" customHeight="1" zeroHeight="1"/>
  <cols>
    <col min="1" max="1" width="1.5" style="1" customWidth="1"/>
    <col min="2" max="2" width="65.625" style="1" customWidth="1"/>
    <col min="3" max="4" width="25.625" style="1" hidden="1" customWidth="1"/>
    <col min="5" max="10" width="22.625" style="1" customWidth="1"/>
    <col min="11" max="11" width="13.375" style="1" customWidth="1"/>
    <col min="12" max="14" width="9" style="1" customWidth="1"/>
    <col min="15" max="16" width="0" style="1" hidden="1" customWidth="1"/>
    <col min="17" max="16384" width="8" style="1" hidden="1"/>
  </cols>
  <sheetData>
    <row r="1" spans="2:14" customFormat="1" ht="3" customHeight="1"/>
    <row r="2" spans="2:14" customFormat="1" ht="23.25">
      <c r="B2" s="79" t="s">
        <v>281</v>
      </c>
    </row>
    <row r="3" spans="2:14" customFormat="1" ht="23.25">
      <c r="B3" s="80" t="s">
        <v>324</v>
      </c>
    </row>
    <row r="4" spans="2:14" customFormat="1" ht="3" customHeight="1">
      <c r="B4" s="72"/>
      <c r="C4" s="72"/>
      <c r="D4" s="72"/>
      <c r="E4" s="72"/>
      <c r="F4" s="72"/>
      <c r="G4" s="72"/>
      <c r="H4" s="72"/>
      <c r="I4" s="72"/>
      <c r="J4" s="72"/>
      <c r="K4" s="72"/>
      <c r="L4" s="72"/>
      <c r="M4" s="72"/>
      <c r="N4" s="72"/>
    </row>
    <row r="5" spans="2:14" customFormat="1" ht="3"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3" customHeight="1"/>
    <row r="8" spans="2:14" ht="13.5"/>
    <row r="9" spans="2:14" ht="13.5"/>
    <row r="10" spans="2:14" ht="13.5"/>
    <row r="11" spans="2:14" ht="3" customHeight="1"/>
    <row r="12" spans="2:14" ht="13.9" thickBot="1"/>
    <row r="13" spans="2:14" ht="18" thickBot="1">
      <c r="B13" s="155" t="s">
        <v>280</v>
      </c>
      <c r="C13" s="156"/>
      <c r="D13" s="156"/>
      <c r="E13" s="156" t="s">
        <v>3</v>
      </c>
      <c r="F13" s="156"/>
      <c r="G13" s="156"/>
      <c r="H13" s="156"/>
      <c r="I13" s="156"/>
      <c r="J13" s="185"/>
    </row>
    <row r="14" spans="2:14" ht="17.649999999999999">
      <c r="B14" s="186" t="s">
        <v>326</v>
      </c>
      <c r="C14" s="150"/>
      <c r="D14" s="150"/>
      <c r="E14" s="239" t="s">
        <v>325</v>
      </c>
      <c r="F14" s="239"/>
      <c r="G14" s="239"/>
      <c r="H14" s="239"/>
      <c r="I14" s="239"/>
      <c r="J14" s="240"/>
    </row>
    <row r="15" spans="2:14" ht="17.649999999999999">
      <c r="B15" s="186" t="s">
        <v>327</v>
      </c>
      <c r="C15" s="150"/>
      <c r="D15" s="150"/>
      <c r="E15" s="2" t="s">
        <v>328</v>
      </c>
      <c r="F15" s="2"/>
      <c r="G15" s="2"/>
      <c r="H15" s="2"/>
      <c r="I15" s="2"/>
      <c r="J15" s="15"/>
    </row>
    <row r="16" spans="2:14" ht="17.649999999999999">
      <c r="B16" s="186" t="s">
        <v>329</v>
      </c>
      <c r="C16" s="150"/>
      <c r="D16" s="150"/>
      <c r="E16" s="2" t="s">
        <v>330</v>
      </c>
      <c r="F16" s="2"/>
      <c r="G16" s="2"/>
      <c r="H16" s="2"/>
      <c r="I16" s="2"/>
      <c r="J16" s="15"/>
    </row>
    <row r="17" spans="2:10" ht="17.649999999999999">
      <c r="B17" s="194" t="s">
        <v>331</v>
      </c>
      <c r="C17" s="152"/>
      <c r="D17" s="152"/>
      <c r="E17" s="2" t="s">
        <v>332</v>
      </c>
      <c r="F17" s="2"/>
      <c r="G17" s="2"/>
      <c r="H17" s="2"/>
      <c r="I17" s="2"/>
      <c r="J17" s="15"/>
    </row>
    <row r="18" spans="2:10" ht="17.649999999999999">
      <c r="B18" s="186" t="s">
        <v>448</v>
      </c>
      <c r="C18" s="150"/>
      <c r="D18" s="150"/>
      <c r="E18" s="2" t="s">
        <v>449</v>
      </c>
      <c r="F18" s="2"/>
      <c r="G18" s="2"/>
      <c r="H18" s="2"/>
      <c r="I18" s="2"/>
      <c r="J18" s="15"/>
    </row>
    <row r="19" spans="2:10" ht="17.45" customHeight="1">
      <c r="B19" s="186" t="s">
        <v>334</v>
      </c>
      <c r="C19" s="150"/>
      <c r="D19" s="150"/>
      <c r="E19" s="2" t="s">
        <v>333</v>
      </c>
      <c r="F19" s="2"/>
      <c r="G19" s="2"/>
      <c r="H19" s="2"/>
      <c r="I19" s="2"/>
      <c r="J19" s="15"/>
    </row>
    <row r="20" spans="2:10" ht="17.25">
      <c r="B20" s="149" t="s">
        <v>335</v>
      </c>
      <c r="C20" s="150"/>
      <c r="D20" s="150"/>
      <c r="E20" s="191" t="s">
        <v>336</v>
      </c>
      <c r="F20" s="191"/>
      <c r="G20" s="191"/>
      <c r="H20" s="191"/>
      <c r="I20" s="191"/>
      <c r="J20" s="192"/>
    </row>
    <row r="21" spans="2:10" ht="17.25">
      <c r="B21" s="149" t="s">
        <v>337</v>
      </c>
      <c r="C21" s="150"/>
      <c r="D21" s="150"/>
      <c r="E21" s="2" t="s">
        <v>338</v>
      </c>
      <c r="F21" s="2"/>
      <c r="G21" s="2"/>
      <c r="H21" s="2"/>
      <c r="I21" s="2"/>
      <c r="J21" s="15"/>
    </row>
    <row r="22" spans="2:10" ht="17.25">
      <c r="B22" s="149" t="s">
        <v>339</v>
      </c>
      <c r="C22" s="150"/>
      <c r="D22" s="150"/>
      <c r="E22" s="2" t="s">
        <v>340</v>
      </c>
      <c r="F22" s="2"/>
      <c r="G22" s="2"/>
      <c r="H22" s="2"/>
      <c r="I22" s="2"/>
      <c r="J22" s="15"/>
    </row>
    <row r="23" spans="2:10" ht="17.25">
      <c r="B23" s="145" t="s">
        <v>341</v>
      </c>
      <c r="C23" s="146"/>
      <c r="D23" s="146"/>
      <c r="E23" s="2" t="s">
        <v>342</v>
      </c>
      <c r="F23" s="2"/>
      <c r="G23" s="2"/>
      <c r="H23" s="2"/>
      <c r="I23" s="2"/>
      <c r="J23" s="15"/>
    </row>
    <row r="24" spans="2:10" ht="17.25">
      <c r="B24" s="145" t="s">
        <v>343</v>
      </c>
      <c r="C24" s="146"/>
      <c r="D24" s="146"/>
      <c r="E24" s="2" t="s">
        <v>344</v>
      </c>
      <c r="F24" s="2"/>
      <c r="G24" s="2"/>
      <c r="H24" s="2"/>
      <c r="I24" s="2"/>
      <c r="J24" s="15"/>
    </row>
    <row r="25" spans="2:10" ht="17.25">
      <c r="B25" s="145" t="s">
        <v>345</v>
      </c>
      <c r="C25" s="146"/>
      <c r="D25" s="146"/>
      <c r="E25" s="2" t="s">
        <v>346</v>
      </c>
      <c r="F25" s="2"/>
      <c r="G25" s="2"/>
      <c r="H25" s="2"/>
      <c r="I25" s="2"/>
      <c r="J25" s="15"/>
    </row>
    <row r="26" spans="2:10" ht="17.25">
      <c r="B26" s="145" t="s">
        <v>347</v>
      </c>
      <c r="C26" s="146"/>
      <c r="D26" s="146"/>
      <c r="E26" s="2" t="s">
        <v>348</v>
      </c>
      <c r="F26" s="2"/>
      <c r="G26" s="2"/>
      <c r="H26" s="2"/>
      <c r="I26" s="2"/>
      <c r="J26" s="15"/>
    </row>
    <row r="27" spans="2:10" ht="17.25">
      <c r="B27" s="145" t="s">
        <v>349</v>
      </c>
      <c r="C27" s="146"/>
      <c r="D27" s="146"/>
      <c r="E27" s="2" t="s">
        <v>350</v>
      </c>
      <c r="F27" s="2"/>
      <c r="G27" s="2"/>
      <c r="H27" s="2"/>
      <c r="I27" s="2"/>
      <c r="J27" s="15"/>
    </row>
    <row r="28" spans="2:10" ht="17.649999999999999">
      <c r="B28" s="189" t="s">
        <v>351</v>
      </c>
      <c r="C28" s="146"/>
      <c r="D28" s="146"/>
      <c r="E28" s="2" t="s">
        <v>352</v>
      </c>
      <c r="F28" s="2"/>
      <c r="G28" s="2"/>
      <c r="H28" s="2"/>
      <c r="I28" s="2"/>
      <c r="J28" s="15"/>
    </row>
    <row r="29" spans="2:10" ht="17.649999999999999">
      <c r="B29" s="189" t="s">
        <v>355</v>
      </c>
      <c r="C29" s="146"/>
      <c r="D29" s="146"/>
      <c r="E29" s="2" t="s">
        <v>356</v>
      </c>
      <c r="F29" s="2"/>
      <c r="G29" s="2"/>
      <c r="H29" s="2"/>
      <c r="I29" s="2"/>
      <c r="J29" s="15"/>
    </row>
    <row r="30" spans="2:10" ht="17.649999999999999">
      <c r="B30" s="189" t="s">
        <v>353</v>
      </c>
      <c r="C30" s="146"/>
      <c r="D30" s="146"/>
      <c r="E30" s="2" t="s">
        <v>354</v>
      </c>
      <c r="F30" s="2"/>
      <c r="G30" s="2"/>
      <c r="H30" s="2"/>
      <c r="I30" s="2"/>
      <c r="J30" s="15"/>
    </row>
    <row r="31" spans="2:10" ht="17.25">
      <c r="B31" s="145" t="s">
        <v>444</v>
      </c>
      <c r="C31" s="146"/>
      <c r="D31" s="146"/>
      <c r="E31" s="2" t="s">
        <v>445</v>
      </c>
      <c r="F31" s="2"/>
      <c r="G31" s="2"/>
      <c r="H31" s="2"/>
      <c r="I31" s="2"/>
      <c r="J31" s="15"/>
    </row>
    <row r="32" spans="2:10" ht="17.25">
      <c r="B32" s="145" t="s">
        <v>442</v>
      </c>
      <c r="C32" s="146"/>
      <c r="D32" s="146"/>
      <c r="E32" s="2" t="s">
        <v>443</v>
      </c>
      <c r="F32" s="2"/>
      <c r="G32" s="2"/>
      <c r="H32" s="2"/>
      <c r="I32" s="2"/>
      <c r="J32" s="15"/>
    </row>
    <row r="33" spans="2:10" ht="17.25">
      <c r="B33" s="145" t="s">
        <v>446</v>
      </c>
      <c r="C33" s="146"/>
      <c r="D33" s="146"/>
      <c r="E33" s="2" t="s">
        <v>447</v>
      </c>
      <c r="F33" s="2"/>
      <c r="G33" s="2"/>
      <c r="H33" s="2"/>
      <c r="I33" s="2"/>
      <c r="J33" s="15"/>
    </row>
    <row r="34" spans="2:10" ht="17.25">
      <c r="B34" s="145" t="s">
        <v>461</v>
      </c>
      <c r="C34" s="146"/>
      <c r="D34" s="146"/>
      <c r="E34" s="2" t="s">
        <v>462</v>
      </c>
      <c r="F34" s="2"/>
      <c r="G34" s="2"/>
      <c r="H34" s="2"/>
      <c r="I34" s="2"/>
      <c r="J34" s="15"/>
    </row>
    <row r="35" spans="2:10" ht="18" thickBot="1">
      <c r="B35" s="193" t="s">
        <v>341</v>
      </c>
      <c r="C35" s="190"/>
      <c r="D35" s="190"/>
      <c r="E35" s="187" t="s">
        <v>463</v>
      </c>
      <c r="F35" s="187"/>
      <c r="G35" s="187"/>
      <c r="H35" s="187"/>
      <c r="I35" s="187"/>
      <c r="J35" s="188"/>
    </row>
    <row r="36" spans="2:10" ht="13.5">
      <c r="B36" s="148"/>
    </row>
    <row r="37" spans="2:10" ht="17.25">
      <c r="B37" s="2"/>
      <c r="C37" s="16"/>
    </row>
    <row r="38" spans="2:10" ht="14.1" customHeight="1"/>
    <row r="39" spans="2:10" ht="14.1" customHeight="1"/>
    <row r="40" spans="2:10" ht="14.1" customHeight="1"/>
    <row r="41" spans="2:10" ht="14.1" customHeight="1"/>
    <row r="42" spans="2:10" ht="14.1" customHeight="1"/>
    <row r="43" spans="2:10" ht="14.1" customHeight="1"/>
    <row r="44" spans="2:10" ht="14.1" customHeight="1"/>
    <row r="45" spans="2:10" ht="14.1" customHeight="1"/>
    <row r="46" spans="2:10" ht="14.1" customHeight="1"/>
    <row r="47" spans="2:10" ht="14.1" customHeight="1"/>
    <row r="48" spans="2:10" ht="14.1" customHeight="1"/>
    <row r="49" ht="14.1" customHeight="1"/>
  </sheetData>
  <mergeCells count="1">
    <mergeCell ref="E14:J1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6" tint="0.59999389629810485"/>
  </sheetPr>
  <dimension ref="A1:AL41"/>
  <sheetViews>
    <sheetView showGridLines="0" topLeftCell="C1" zoomScaleNormal="100" workbookViewId="0">
      <selection activeCell="C31" sqref="C31"/>
    </sheetView>
  </sheetViews>
  <sheetFormatPr defaultColWidth="0" defaultRowHeight="0" customHeight="1" zeroHeight="1"/>
  <cols>
    <col min="1" max="1" width="5.625" customWidth="1"/>
    <col min="2" max="2" width="1.5" customWidth="1"/>
    <col min="3" max="3" width="19.6875" customWidth="1"/>
    <col min="4" max="4" width="35.875" customWidth="1"/>
    <col min="5" max="5" width="11.375" style="56" customWidth="1"/>
    <col min="6" max="6" width="20.6875" customWidth="1"/>
    <col min="7" max="8" width="35" customWidth="1"/>
    <col min="9" max="9" width="7.625" customWidth="1"/>
    <col min="10" max="10" width="53" customWidth="1"/>
    <col min="11" max="11" width="35" customWidth="1"/>
    <col min="12" max="12" width="1.5" customWidth="1"/>
    <col min="13" max="35" width="8.625" customWidth="1"/>
    <col min="36" max="38" width="2.5" customWidth="1"/>
    <col min="39" max="16384" width="8.625" hidden="1"/>
  </cols>
  <sheetData>
    <row r="1" spans="2:35" ht="3" customHeight="1">
      <c r="E1"/>
    </row>
    <row r="2" spans="2:35" ht="23.25" hidden="1">
      <c r="B2" s="79" t="s">
        <v>238</v>
      </c>
      <c r="E2"/>
    </row>
    <row r="3" spans="2:35" ht="23.25" hidden="1">
      <c r="B3" s="80" t="s">
        <v>258</v>
      </c>
      <c r="E3"/>
    </row>
    <row r="4" spans="2:35" ht="3" customHeight="1">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row>
    <row r="5" spans="2:35" ht="0.95" customHeight="1">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row>
    <row r="6" spans="2:35" ht="3" customHeight="1">
      <c r="B6" s="72"/>
      <c r="C6" s="72"/>
      <c r="D6" s="72"/>
      <c r="E6" s="72"/>
      <c r="F6" s="72"/>
      <c r="G6" s="72"/>
      <c r="H6" s="72"/>
      <c r="I6" s="72"/>
      <c r="J6" s="72"/>
      <c r="K6" s="72"/>
      <c r="L6" s="72"/>
      <c r="M6" s="72"/>
      <c r="N6" s="72"/>
      <c r="O6" s="72"/>
      <c r="P6" s="72"/>
      <c r="Q6" s="72"/>
      <c r="R6" s="72"/>
      <c r="S6" s="72"/>
      <c r="T6" s="72"/>
      <c r="U6" s="72"/>
      <c r="V6" s="72"/>
      <c r="W6" s="72"/>
      <c r="X6" s="72"/>
      <c r="Y6" s="72"/>
      <c r="Z6" s="72"/>
      <c r="AA6" s="72"/>
      <c r="AB6" s="72"/>
      <c r="AC6" s="72"/>
      <c r="AD6" s="72"/>
      <c r="AE6" s="72"/>
      <c r="AF6" s="72"/>
      <c r="AG6" s="72"/>
      <c r="AH6" s="72"/>
      <c r="AI6" s="72"/>
    </row>
    <row r="7" spans="2:35" ht="15" customHeight="1"/>
    <row r="8" spans="2:35" ht="15" customHeight="1"/>
    <row r="9" spans="2:35" ht="30" customHeight="1">
      <c r="C9" s="27" t="s">
        <v>189</v>
      </c>
      <c r="D9" s="27" t="s">
        <v>471</v>
      </c>
      <c r="E9" s="69" t="s">
        <v>210</v>
      </c>
      <c r="F9" s="70" t="s">
        <v>226</v>
      </c>
      <c r="G9" s="70" t="s">
        <v>227</v>
      </c>
      <c r="H9" s="71" t="s">
        <v>225</v>
      </c>
      <c r="I9" s="71" t="s">
        <v>224</v>
      </c>
      <c r="J9" s="71" t="s">
        <v>232</v>
      </c>
      <c r="K9" s="71" t="s">
        <v>233</v>
      </c>
    </row>
    <row r="10" spans="2:35" ht="15" customHeight="1">
      <c r="C10" s="28" t="s">
        <v>190</v>
      </c>
      <c r="D10" s="131"/>
      <c r="E10" s="48">
        <v>1</v>
      </c>
      <c r="F10" s="48" t="s">
        <v>207</v>
      </c>
      <c r="G10" s="49">
        <v>3</v>
      </c>
      <c r="H10" s="29">
        <v>71000</v>
      </c>
      <c r="I10" s="66">
        <v>0.08</v>
      </c>
      <c r="J10" s="137"/>
      <c r="K10" s="139"/>
      <c r="N10" s="182"/>
      <c r="O10" s="182"/>
      <c r="P10" s="182"/>
      <c r="Q10" s="182"/>
      <c r="R10" s="182"/>
      <c r="S10" s="182"/>
      <c r="T10" s="182"/>
      <c r="U10" s="182"/>
      <c r="V10" s="182"/>
      <c r="W10" s="182"/>
      <c r="Y10" s="181"/>
      <c r="Z10" s="181"/>
      <c r="AA10" s="181"/>
      <c r="AB10" s="181"/>
      <c r="AC10" s="181"/>
      <c r="AD10" s="181"/>
      <c r="AE10" s="181"/>
      <c r="AF10" s="181"/>
      <c r="AG10" s="181"/>
      <c r="AH10" s="181"/>
    </row>
    <row r="11" spans="2:35" ht="15" customHeight="1">
      <c r="C11" s="28" t="s">
        <v>191</v>
      </c>
      <c r="D11" s="131"/>
      <c r="E11" s="48">
        <v>1</v>
      </c>
      <c r="F11" s="48" t="s">
        <v>1</v>
      </c>
      <c r="G11" s="49">
        <v>2</v>
      </c>
      <c r="H11" s="29">
        <v>61500</v>
      </c>
      <c r="I11" s="66">
        <v>0.08</v>
      </c>
      <c r="J11" s="137"/>
      <c r="K11" s="139"/>
      <c r="N11" s="182"/>
      <c r="O11" s="182"/>
      <c r="P11" s="182"/>
      <c r="Q11" s="182"/>
      <c r="R11" s="182"/>
      <c r="S11" s="182"/>
      <c r="T11" s="182"/>
      <c r="U11" s="182"/>
      <c r="V11" s="182"/>
      <c r="W11" s="182"/>
      <c r="Y11" s="181"/>
      <c r="Z11" s="181"/>
      <c r="AA11" s="181"/>
      <c r="AB11" s="181"/>
      <c r="AC11" s="181"/>
      <c r="AD11" s="181"/>
      <c r="AE11" s="181"/>
      <c r="AF11" s="181"/>
      <c r="AG11" s="181"/>
      <c r="AH11" s="181"/>
    </row>
    <row r="12" spans="2:35" ht="15" customHeight="1">
      <c r="C12" s="28" t="s">
        <v>192</v>
      </c>
      <c r="D12" s="131"/>
      <c r="E12" s="48">
        <v>1</v>
      </c>
      <c r="F12" s="48" t="s">
        <v>1</v>
      </c>
      <c r="G12" s="49">
        <v>2</v>
      </c>
      <c r="H12" s="29">
        <v>59800</v>
      </c>
      <c r="I12" s="66">
        <v>0.08</v>
      </c>
      <c r="J12" s="137"/>
      <c r="K12" s="139"/>
      <c r="N12" s="182"/>
      <c r="O12" s="182"/>
      <c r="P12" s="182"/>
      <c r="Q12" s="182"/>
      <c r="R12" s="182"/>
      <c r="S12" s="182"/>
      <c r="T12" s="182"/>
      <c r="U12" s="182"/>
      <c r="V12" s="182"/>
      <c r="W12" s="182"/>
      <c r="Y12" s="181"/>
      <c r="Z12" s="181"/>
      <c r="AA12" s="181"/>
      <c r="AB12" s="181"/>
      <c r="AC12" s="181"/>
      <c r="AD12" s="181"/>
      <c r="AE12" s="181"/>
      <c r="AF12" s="181"/>
      <c r="AG12" s="181"/>
      <c r="AH12" s="181"/>
    </row>
    <row r="13" spans="2:35" ht="15" customHeight="1">
      <c r="C13" s="28" t="s">
        <v>193</v>
      </c>
      <c r="D13" s="131"/>
      <c r="E13" s="48">
        <v>1</v>
      </c>
      <c r="F13" s="48" t="s">
        <v>207</v>
      </c>
      <c r="G13" s="49">
        <v>3</v>
      </c>
      <c r="H13" s="29">
        <v>68900</v>
      </c>
      <c r="I13" s="66">
        <v>0.08</v>
      </c>
      <c r="J13" s="137"/>
      <c r="K13" s="139"/>
      <c r="N13" s="182"/>
      <c r="O13" s="182"/>
      <c r="P13" s="182"/>
      <c r="Q13" s="182"/>
      <c r="R13" s="182"/>
      <c r="S13" s="182"/>
      <c r="T13" s="182"/>
      <c r="U13" s="182"/>
      <c r="V13" s="182"/>
      <c r="W13" s="182"/>
      <c r="Y13" s="181"/>
      <c r="Z13" s="181"/>
      <c r="AA13" s="181"/>
      <c r="AB13" s="181"/>
      <c r="AC13" s="181"/>
      <c r="AD13" s="181"/>
      <c r="AE13" s="181"/>
      <c r="AF13" s="181"/>
      <c r="AG13" s="181"/>
      <c r="AH13" s="181"/>
    </row>
    <row r="14" spans="2:35" ht="15" customHeight="1">
      <c r="C14" s="28" t="s">
        <v>194</v>
      </c>
      <c r="D14" s="131"/>
      <c r="E14" s="48">
        <v>1</v>
      </c>
      <c r="F14" s="48" t="s">
        <v>207</v>
      </c>
      <c r="G14" s="49">
        <v>3</v>
      </c>
      <c r="H14" s="29">
        <v>72250</v>
      </c>
      <c r="I14" s="66">
        <v>0.08</v>
      </c>
      <c r="J14" s="137"/>
      <c r="K14" s="139"/>
      <c r="N14" s="182"/>
      <c r="O14" s="182"/>
      <c r="P14" s="182"/>
      <c r="Q14" s="182"/>
      <c r="R14" s="182"/>
      <c r="S14" s="182"/>
      <c r="T14" s="182"/>
      <c r="U14" s="182"/>
      <c r="V14" s="182"/>
      <c r="W14" s="182"/>
      <c r="Y14" s="181"/>
      <c r="Z14" s="181"/>
      <c r="AA14" s="181"/>
      <c r="AB14" s="181"/>
      <c r="AC14" s="181"/>
      <c r="AD14" s="181"/>
      <c r="AE14" s="181"/>
      <c r="AF14" s="181"/>
      <c r="AG14" s="181"/>
      <c r="AH14" s="181"/>
    </row>
    <row r="15" spans="2:35" ht="15" customHeight="1">
      <c r="C15" s="28" t="s">
        <v>195</v>
      </c>
      <c r="D15" s="131"/>
      <c r="E15" s="48">
        <v>1</v>
      </c>
      <c r="F15" s="48" t="s">
        <v>1</v>
      </c>
      <c r="G15" s="49">
        <v>2</v>
      </c>
      <c r="H15" s="29">
        <v>62000</v>
      </c>
      <c r="I15" s="66">
        <v>0.08</v>
      </c>
      <c r="J15" s="137"/>
      <c r="K15" s="139"/>
      <c r="N15" s="182"/>
      <c r="O15" s="182"/>
      <c r="P15" s="182"/>
      <c r="Q15" s="182"/>
      <c r="R15" s="182"/>
      <c r="S15" s="182"/>
      <c r="T15" s="182"/>
      <c r="U15" s="182"/>
      <c r="V15" s="182"/>
      <c r="W15" s="182"/>
      <c r="Y15" s="181"/>
      <c r="Z15" s="181"/>
      <c r="AA15" s="181"/>
      <c r="AB15" s="181"/>
      <c r="AC15" s="181"/>
      <c r="AD15" s="181"/>
      <c r="AE15" s="181"/>
      <c r="AF15" s="181"/>
      <c r="AG15" s="181"/>
      <c r="AH15" s="181"/>
    </row>
    <row r="16" spans="2:35" ht="15" customHeight="1">
      <c r="C16" s="28" t="s">
        <v>196</v>
      </c>
      <c r="D16" s="131"/>
      <c r="E16" s="48">
        <v>1</v>
      </c>
      <c r="F16" s="48" t="s">
        <v>208</v>
      </c>
      <c r="G16" s="49">
        <v>4</v>
      </c>
      <c r="H16" s="29">
        <v>78000</v>
      </c>
      <c r="I16" s="66">
        <v>0.1</v>
      </c>
      <c r="J16" s="137"/>
      <c r="K16" s="139"/>
      <c r="N16" s="182"/>
      <c r="O16" s="182"/>
      <c r="P16" s="182"/>
      <c r="Q16" s="182"/>
      <c r="R16" s="182"/>
      <c r="S16" s="182"/>
      <c r="T16" s="182"/>
      <c r="U16" s="182"/>
      <c r="V16" s="182"/>
      <c r="W16" s="182"/>
      <c r="Y16" s="181"/>
      <c r="Z16" s="181"/>
      <c r="AA16" s="181"/>
      <c r="AB16" s="181"/>
      <c r="AC16" s="181"/>
      <c r="AD16" s="181"/>
      <c r="AE16" s="181"/>
      <c r="AF16" s="181"/>
      <c r="AG16" s="181"/>
      <c r="AH16" s="181"/>
    </row>
    <row r="17" spans="1:34" ht="15" customHeight="1">
      <c r="C17" s="28" t="s">
        <v>197</v>
      </c>
      <c r="D17" s="131"/>
      <c r="E17" s="48">
        <v>1</v>
      </c>
      <c r="F17" s="48" t="s">
        <v>1</v>
      </c>
      <c r="G17" s="49">
        <v>2</v>
      </c>
      <c r="H17" s="29">
        <v>63000</v>
      </c>
      <c r="I17" s="66">
        <v>0.08</v>
      </c>
      <c r="J17" s="137"/>
      <c r="K17" s="139"/>
      <c r="N17" s="182"/>
      <c r="O17" s="182"/>
      <c r="P17" s="182"/>
      <c r="Q17" s="182"/>
      <c r="R17" s="182"/>
      <c r="S17" s="182"/>
      <c r="T17" s="182"/>
      <c r="U17" s="182"/>
      <c r="V17" s="182"/>
      <c r="W17" s="182"/>
      <c r="Y17" s="181"/>
      <c r="Z17" s="181"/>
      <c r="AA17" s="181"/>
      <c r="AB17" s="181"/>
      <c r="AC17" s="181"/>
      <c r="AD17" s="181"/>
      <c r="AE17" s="181"/>
      <c r="AF17" s="181"/>
      <c r="AG17" s="181"/>
      <c r="AH17" s="181"/>
    </row>
    <row r="18" spans="1:34" ht="15" customHeight="1">
      <c r="C18" s="28" t="s">
        <v>200</v>
      </c>
      <c r="D18" s="131"/>
      <c r="E18" s="48">
        <v>1</v>
      </c>
      <c r="F18" s="48" t="s">
        <v>209</v>
      </c>
      <c r="G18" s="49">
        <v>1</v>
      </c>
      <c r="H18" s="29">
        <v>55000</v>
      </c>
      <c r="I18" s="66">
        <v>0.08</v>
      </c>
      <c r="J18" s="137"/>
      <c r="K18" s="139"/>
      <c r="N18" s="182"/>
      <c r="O18" s="182"/>
      <c r="P18" s="182"/>
      <c r="Q18" s="182"/>
      <c r="R18" s="182"/>
      <c r="S18" s="182"/>
      <c r="T18" s="182"/>
      <c r="U18" s="182"/>
      <c r="V18" s="182"/>
      <c r="W18" s="182"/>
      <c r="Y18" s="181"/>
      <c r="Z18" s="181"/>
      <c r="AA18" s="181"/>
      <c r="AB18" s="181"/>
      <c r="AC18" s="181"/>
      <c r="AD18" s="181"/>
      <c r="AE18" s="181"/>
      <c r="AF18" s="181"/>
      <c r="AG18" s="181"/>
      <c r="AH18" s="181"/>
    </row>
    <row r="19" spans="1:34" ht="15" customHeight="1">
      <c r="C19" s="28" t="s">
        <v>201</v>
      </c>
      <c r="D19" s="131"/>
      <c r="E19" s="48">
        <v>1</v>
      </c>
      <c r="F19" s="48" t="s">
        <v>1</v>
      </c>
      <c r="G19" s="49">
        <v>2</v>
      </c>
      <c r="H19" s="29">
        <v>62300</v>
      </c>
      <c r="I19" s="66">
        <v>0.08</v>
      </c>
      <c r="J19" s="137"/>
      <c r="K19" s="139"/>
      <c r="N19" s="182"/>
      <c r="O19" s="182"/>
      <c r="P19" s="182"/>
      <c r="Q19" s="182"/>
      <c r="R19" s="182"/>
      <c r="S19" s="182"/>
      <c r="T19" s="182"/>
      <c r="U19" s="182"/>
      <c r="V19" s="182"/>
      <c r="W19" s="182"/>
      <c r="Y19" s="181"/>
      <c r="Z19" s="181"/>
      <c r="AA19" s="181"/>
      <c r="AB19" s="181"/>
      <c r="AC19" s="181"/>
      <c r="AD19" s="181"/>
      <c r="AE19" s="181"/>
      <c r="AF19" s="181"/>
      <c r="AG19" s="181"/>
      <c r="AH19" s="181"/>
    </row>
    <row r="20" spans="1:34" ht="15" customHeight="1">
      <c r="C20" s="28" t="s">
        <v>202</v>
      </c>
      <c r="D20" s="131"/>
      <c r="E20" s="48">
        <v>1</v>
      </c>
      <c r="F20" s="48" t="s">
        <v>1</v>
      </c>
      <c r="G20" s="49">
        <v>2</v>
      </c>
      <c r="H20" s="29">
        <v>63900</v>
      </c>
      <c r="I20" s="66">
        <v>0.08</v>
      </c>
      <c r="J20" s="137"/>
      <c r="K20" s="139"/>
      <c r="N20" s="182"/>
      <c r="O20" s="182"/>
      <c r="P20" s="182"/>
      <c r="Q20" s="182"/>
      <c r="R20" s="182"/>
      <c r="S20" s="182"/>
      <c r="T20" s="182"/>
      <c r="U20" s="182"/>
      <c r="V20" s="182"/>
      <c r="W20" s="182"/>
      <c r="Y20" s="181"/>
      <c r="Z20" s="181"/>
      <c r="AA20" s="181"/>
      <c r="AB20" s="181"/>
      <c r="AC20" s="181"/>
      <c r="AD20" s="181"/>
      <c r="AE20" s="181"/>
      <c r="AF20" s="181"/>
      <c r="AG20" s="181"/>
      <c r="AH20" s="181"/>
    </row>
    <row r="21" spans="1:34" ht="15" customHeight="1">
      <c r="C21" s="28" t="s">
        <v>198</v>
      </c>
      <c r="D21" s="131"/>
      <c r="E21" s="48">
        <v>1</v>
      </c>
      <c r="F21" s="48" t="s">
        <v>1</v>
      </c>
      <c r="G21" s="49">
        <v>2</v>
      </c>
      <c r="H21" s="29">
        <v>64000</v>
      </c>
      <c r="I21" s="66">
        <v>0.08</v>
      </c>
      <c r="J21" s="137"/>
      <c r="K21" s="139"/>
      <c r="N21" s="182"/>
      <c r="O21" s="182"/>
      <c r="P21" s="182"/>
      <c r="Q21" s="182"/>
      <c r="R21" s="182"/>
      <c r="S21" s="182"/>
      <c r="T21" s="182"/>
      <c r="U21" s="182"/>
      <c r="V21" s="182"/>
      <c r="W21" s="182"/>
      <c r="Y21" s="181"/>
      <c r="Z21" s="181"/>
      <c r="AA21" s="181"/>
      <c r="AB21" s="181"/>
      <c r="AC21" s="181"/>
      <c r="AD21" s="181"/>
      <c r="AE21" s="181"/>
      <c r="AF21" s="181"/>
      <c r="AG21" s="181"/>
      <c r="AH21" s="181"/>
    </row>
    <row r="22" spans="1:34" ht="15" customHeight="1">
      <c r="C22" s="28" t="s">
        <v>199</v>
      </c>
      <c r="D22" s="131"/>
      <c r="E22" s="48">
        <v>1</v>
      </c>
      <c r="F22" s="48" t="s">
        <v>207</v>
      </c>
      <c r="G22" s="49">
        <v>3</v>
      </c>
      <c r="H22" s="29">
        <v>67000</v>
      </c>
      <c r="I22" s="66">
        <v>0.08</v>
      </c>
      <c r="J22" s="137"/>
      <c r="K22" s="139"/>
      <c r="N22" s="182"/>
      <c r="O22" s="182"/>
      <c r="P22" s="182"/>
      <c r="Q22" s="182"/>
      <c r="R22" s="182"/>
      <c r="S22" s="182"/>
      <c r="T22" s="182"/>
      <c r="U22" s="182"/>
      <c r="V22" s="182"/>
      <c r="W22" s="182"/>
      <c r="Y22" s="181"/>
      <c r="Z22" s="181"/>
      <c r="AA22" s="181"/>
      <c r="AB22" s="181"/>
      <c r="AC22" s="181"/>
      <c r="AD22" s="181"/>
      <c r="AE22" s="181"/>
      <c r="AF22" s="181"/>
      <c r="AG22" s="181"/>
      <c r="AH22" s="181"/>
    </row>
    <row r="23" spans="1:34" ht="15" customHeight="1">
      <c r="C23" s="28" t="s">
        <v>203</v>
      </c>
      <c r="D23" s="131"/>
      <c r="E23" s="48">
        <v>1</v>
      </c>
      <c r="F23" s="48" t="s">
        <v>209</v>
      </c>
      <c r="G23" s="49">
        <v>1</v>
      </c>
      <c r="H23" s="29">
        <v>57600</v>
      </c>
      <c r="I23" s="66">
        <v>0.08</v>
      </c>
      <c r="J23" s="137"/>
      <c r="K23" s="139"/>
      <c r="N23" s="182"/>
      <c r="O23" s="182"/>
      <c r="P23" s="182"/>
      <c r="Q23" s="182"/>
      <c r="R23" s="182"/>
      <c r="S23" s="182"/>
      <c r="T23" s="182"/>
      <c r="U23" s="182"/>
      <c r="V23" s="182"/>
      <c r="W23" s="182"/>
      <c r="Y23" s="181"/>
      <c r="Z23" s="181"/>
      <c r="AA23" s="181"/>
      <c r="AB23" s="181"/>
      <c r="AC23" s="181"/>
      <c r="AD23" s="181"/>
      <c r="AE23" s="181"/>
      <c r="AF23" s="181"/>
      <c r="AG23" s="181"/>
      <c r="AH23" s="181"/>
    </row>
    <row r="24" spans="1:34" ht="15" customHeight="1">
      <c r="C24" s="28" t="s">
        <v>204</v>
      </c>
      <c r="D24" s="131"/>
      <c r="E24" s="48">
        <v>1</v>
      </c>
      <c r="F24" s="48" t="s">
        <v>207</v>
      </c>
      <c r="G24" s="49">
        <v>3</v>
      </c>
      <c r="H24" s="29">
        <v>65000</v>
      </c>
      <c r="I24" s="66">
        <v>0.08</v>
      </c>
      <c r="J24" s="137"/>
      <c r="K24" s="139"/>
      <c r="N24" s="182"/>
      <c r="O24" s="182"/>
      <c r="P24" s="182"/>
      <c r="Q24" s="182"/>
      <c r="R24" s="182"/>
      <c r="S24" s="182"/>
      <c r="T24" s="182"/>
      <c r="U24" s="182"/>
      <c r="V24" s="182"/>
      <c r="W24" s="182"/>
      <c r="Y24" s="181"/>
      <c r="Z24" s="181"/>
      <c r="AA24" s="181"/>
      <c r="AB24" s="181"/>
      <c r="AC24" s="181"/>
      <c r="AD24" s="181"/>
      <c r="AE24" s="181"/>
      <c r="AF24" s="181"/>
      <c r="AG24" s="181"/>
      <c r="AH24" s="181"/>
    </row>
    <row r="25" spans="1:34" ht="15" customHeight="1">
      <c r="C25" s="28" t="s">
        <v>205</v>
      </c>
      <c r="D25" s="131"/>
      <c r="E25" s="48">
        <v>1</v>
      </c>
      <c r="F25" s="48" t="s">
        <v>1</v>
      </c>
      <c r="G25" s="49">
        <v>2</v>
      </c>
      <c r="H25" s="29">
        <v>59000</v>
      </c>
      <c r="I25" s="66">
        <v>0.08</v>
      </c>
      <c r="J25" s="137"/>
      <c r="K25" s="139"/>
      <c r="N25" s="182"/>
      <c r="O25" s="182"/>
      <c r="P25" s="182"/>
      <c r="Q25" s="182"/>
      <c r="R25" s="182"/>
      <c r="S25" s="182"/>
      <c r="T25" s="182"/>
      <c r="U25" s="182"/>
      <c r="V25" s="182"/>
      <c r="W25" s="182"/>
      <c r="Y25" s="181"/>
      <c r="Z25" s="181"/>
      <c r="AA25" s="181"/>
      <c r="AB25" s="181"/>
      <c r="AC25" s="181"/>
      <c r="AD25" s="181"/>
      <c r="AE25" s="181"/>
      <c r="AF25" s="181"/>
      <c r="AG25" s="181"/>
      <c r="AH25" s="181"/>
    </row>
    <row r="26" spans="1:34" ht="15" customHeight="1">
      <c r="C26" s="28" t="s">
        <v>206</v>
      </c>
      <c r="D26" s="131"/>
      <c r="E26" s="48">
        <v>1</v>
      </c>
      <c r="F26" s="48" t="s">
        <v>1</v>
      </c>
      <c r="G26" s="49">
        <v>2</v>
      </c>
      <c r="H26" s="29">
        <v>59000</v>
      </c>
      <c r="I26" s="66">
        <v>0.08</v>
      </c>
      <c r="J26" s="137"/>
      <c r="K26" s="139"/>
      <c r="N26" s="182"/>
      <c r="O26" s="182"/>
      <c r="P26" s="182"/>
      <c r="Q26" s="182"/>
      <c r="R26" s="182"/>
      <c r="S26" s="182"/>
      <c r="T26" s="182"/>
      <c r="U26" s="182"/>
      <c r="V26" s="182"/>
      <c r="W26" s="182"/>
      <c r="Y26" s="181"/>
      <c r="Z26" s="181"/>
      <c r="AA26" s="181"/>
      <c r="AB26" s="181"/>
      <c r="AC26" s="181"/>
      <c r="AD26" s="181"/>
      <c r="AE26" s="181"/>
      <c r="AF26" s="181"/>
      <c r="AG26" s="181"/>
      <c r="AH26" s="181"/>
    </row>
    <row r="27" spans="1:34" ht="15" customHeight="1">
      <c r="C27" s="50" t="s">
        <v>211</v>
      </c>
      <c r="D27" s="132"/>
      <c r="E27" s="51">
        <v>0.5</v>
      </c>
      <c r="F27" s="51" t="s">
        <v>208</v>
      </c>
      <c r="G27" s="52">
        <v>4</v>
      </c>
      <c r="H27" s="76">
        <v>80000</v>
      </c>
      <c r="I27" s="67">
        <v>0.15</v>
      </c>
      <c r="J27" s="135"/>
      <c r="K27" s="140"/>
      <c r="N27" s="182"/>
      <c r="O27" s="182"/>
      <c r="P27" s="182"/>
      <c r="Q27" s="182"/>
      <c r="R27" s="182"/>
      <c r="S27" s="182"/>
      <c r="T27" s="182"/>
      <c r="U27" s="182"/>
      <c r="V27" s="182"/>
      <c r="W27" s="182"/>
      <c r="Y27" s="181"/>
      <c r="Z27" s="181"/>
      <c r="AA27" s="181"/>
      <c r="AB27" s="181"/>
      <c r="AC27" s="181"/>
      <c r="AD27" s="181"/>
      <c r="AE27" s="181"/>
      <c r="AF27" s="181"/>
      <c r="AG27" s="181"/>
      <c r="AH27" s="181"/>
    </row>
    <row r="28" spans="1:34" ht="15" customHeight="1" thickBot="1">
      <c r="C28" s="53" t="s">
        <v>212</v>
      </c>
      <c r="D28" s="133"/>
      <c r="E28" s="57">
        <v>0.5</v>
      </c>
      <c r="F28" s="57" t="s">
        <v>208</v>
      </c>
      <c r="G28" s="77">
        <v>4</v>
      </c>
      <c r="H28" s="78">
        <v>73600</v>
      </c>
      <c r="I28" s="68">
        <v>0.15</v>
      </c>
      <c r="J28" s="141"/>
      <c r="K28" s="142"/>
      <c r="N28" s="182"/>
      <c r="O28" s="182"/>
      <c r="P28" s="182"/>
      <c r="Q28" s="182"/>
      <c r="R28" s="182"/>
      <c r="S28" s="182"/>
      <c r="T28" s="182"/>
      <c r="U28" s="182"/>
      <c r="V28" s="182"/>
      <c r="W28" s="182"/>
      <c r="Y28" s="181"/>
      <c r="Z28" s="181"/>
      <c r="AA28" s="181"/>
      <c r="AB28" s="181"/>
      <c r="AC28" s="181"/>
      <c r="AD28" s="181"/>
      <c r="AE28" s="181"/>
      <c r="AF28" s="181"/>
      <c r="AG28" s="181"/>
      <c r="AH28" s="181"/>
    </row>
    <row r="29" spans="1:34" ht="15" customHeight="1" thickTop="1">
      <c r="C29" s="50" t="s">
        <v>220</v>
      </c>
      <c r="D29" s="50"/>
      <c r="E29" s="51"/>
      <c r="F29" s="51"/>
      <c r="G29" s="134"/>
      <c r="H29" s="135"/>
      <c r="I29" s="52"/>
      <c r="J29" s="135"/>
      <c r="K29" s="52"/>
    </row>
    <row r="30" spans="1:34" ht="15" customHeight="1">
      <c r="C30" s="202" t="s">
        <v>472</v>
      </c>
      <c r="D30" s="28"/>
      <c r="E30" s="48"/>
      <c r="F30" s="48"/>
      <c r="G30" s="136"/>
      <c r="H30" s="137"/>
      <c r="I30" s="49"/>
      <c r="J30" s="137"/>
      <c r="K30" s="49"/>
    </row>
    <row r="31" spans="1:34" ht="15" customHeight="1">
      <c r="H31" s="72"/>
      <c r="J31" s="72"/>
    </row>
    <row r="32" spans="1:34" ht="15" customHeight="1">
      <c r="A32" s="62">
        <v>0.75</v>
      </c>
      <c r="C32" s="28" t="s">
        <v>215</v>
      </c>
      <c r="D32" s="28"/>
      <c r="E32" s="48"/>
      <c r="F32" s="48"/>
      <c r="G32" s="138"/>
      <c r="H32" s="137"/>
      <c r="I32" s="49"/>
      <c r="J32" s="137"/>
      <c r="K32" s="49"/>
    </row>
    <row r="33" spans="1:11" ht="15" customHeight="1">
      <c r="A33" s="62">
        <v>0.5</v>
      </c>
      <c r="C33" s="28" t="s">
        <v>222</v>
      </c>
      <c r="D33" s="28"/>
      <c r="E33" s="48"/>
      <c r="F33" s="48"/>
      <c r="G33" s="138"/>
      <c r="H33" s="137"/>
      <c r="I33" s="49"/>
      <c r="J33" s="137"/>
      <c r="K33" s="49"/>
    </row>
    <row r="34" spans="1:11" ht="15" customHeight="1">
      <c r="A34" s="62">
        <v>0.25</v>
      </c>
      <c r="C34" s="28" t="s">
        <v>216</v>
      </c>
      <c r="D34" s="28"/>
      <c r="E34" s="48"/>
      <c r="F34" s="48"/>
      <c r="G34" s="138"/>
      <c r="H34" s="137"/>
      <c r="I34" s="49"/>
      <c r="J34" s="137"/>
      <c r="K34" s="49"/>
    </row>
    <row r="35" spans="1:11" ht="15" customHeight="1"/>
    <row r="36" spans="1:11" ht="15" customHeight="1">
      <c r="F36" s="58"/>
      <c r="G36" s="58"/>
      <c r="H36" s="58"/>
      <c r="I36" s="58"/>
      <c r="J36" s="58"/>
      <c r="K36" s="58"/>
    </row>
    <row r="37" spans="1:11" ht="15" customHeight="1">
      <c r="F37" s="58"/>
      <c r="G37" s="58"/>
      <c r="H37" s="58"/>
      <c r="I37" s="58"/>
      <c r="J37" s="58"/>
      <c r="K37" s="58"/>
    </row>
    <row r="38" spans="1:11" ht="15" customHeight="1">
      <c r="C38" s="183"/>
      <c r="D38" s="184"/>
    </row>
    <row r="39" spans="1:11" ht="15" customHeight="1">
      <c r="C39" s="183"/>
      <c r="D39" s="184"/>
    </row>
    <row r="40" spans="1:11" ht="15" customHeight="1"/>
    <row r="41" spans="1:11" ht="15" customHeight="1"/>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2">
    <tabColor theme="6" tint="0.59999389629810485"/>
  </sheetPr>
  <dimension ref="A1:AL36"/>
  <sheetViews>
    <sheetView showGridLines="0" zoomScaleNormal="100" workbookViewId="0">
      <selection activeCell="H24" sqref="H24"/>
    </sheetView>
  </sheetViews>
  <sheetFormatPr defaultColWidth="0" defaultRowHeight="0" customHeight="1" zeroHeight="1"/>
  <cols>
    <col min="1" max="1" width="5.625" customWidth="1"/>
    <col min="2" max="2" width="1.5" customWidth="1"/>
    <col min="3" max="3" width="19.6875" customWidth="1"/>
    <col min="4" max="4" width="35.875" customWidth="1"/>
    <col min="5" max="5" width="11.375" style="56" customWidth="1"/>
    <col min="6" max="6" width="20.6875" customWidth="1"/>
    <col min="7" max="8" width="35" customWidth="1"/>
    <col min="9" max="9" width="7.625" customWidth="1"/>
    <col min="10" max="10" width="53" customWidth="1"/>
    <col min="11" max="11" width="35" customWidth="1"/>
    <col min="12" max="12" width="1.5" customWidth="1"/>
    <col min="13" max="38" width="8.625" customWidth="1"/>
    <col min="39" max="16384" width="8.625" hidden="1"/>
  </cols>
  <sheetData>
    <row r="1" spans="3:34" ht="3" customHeight="1"/>
    <row r="2" spans="3:34" ht="15" customHeight="1"/>
    <row r="3" spans="3:34" ht="15" customHeight="1"/>
    <row r="4" spans="3:34" ht="27.75">
      <c r="C4" s="27" t="s">
        <v>189</v>
      </c>
      <c r="D4" s="27" t="s">
        <v>223</v>
      </c>
      <c r="E4" s="69" t="s">
        <v>210</v>
      </c>
      <c r="F4" s="70" t="s">
        <v>226</v>
      </c>
      <c r="G4" s="70" t="s">
        <v>227</v>
      </c>
      <c r="H4" s="71" t="s">
        <v>225</v>
      </c>
      <c r="I4" s="71" t="s">
        <v>224</v>
      </c>
      <c r="J4" s="71" t="s">
        <v>232</v>
      </c>
      <c r="K4" s="71" t="s">
        <v>233</v>
      </c>
    </row>
    <row r="5" spans="3:34" ht="13.5">
      <c r="C5" s="28" t="s">
        <v>190</v>
      </c>
      <c r="D5" s="59" t="str">
        <f>RIGHT($C5,LEN($C5)-FIND(" ",$C5))</f>
        <v>Doe</v>
      </c>
      <c r="E5" s="48">
        <v>1</v>
      </c>
      <c r="F5" s="48" t="s">
        <v>207</v>
      </c>
      <c r="G5" s="49">
        <v>3</v>
      </c>
      <c r="H5" s="29">
        <v>71000</v>
      </c>
      <c r="I5" s="66">
        <v>0.08</v>
      </c>
      <c r="J5" s="63">
        <f>$H5+($H5*$I5)</f>
        <v>76680</v>
      </c>
      <c r="K5" s="73">
        <f>_xlfn.PERCENTRANK.EXC($J$5:$J$23,$J5)</f>
        <v>0.75</v>
      </c>
      <c r="N5" s="254"/>
      <c r="O5" s="255"/>
      <c r="P5" s="255"/>
      <c r="Q5" s="255"/>
      <c r="R5" s="255"/>
      <c r="S5" s="255"/>
      <c r="T5" s="255"/>
      <c r="U5" s="255"/>
      <c r="V5" s="255"/>
      <c r="W5" s="255"/>
      <c r="Y5" s="256"/>
      <c r="Z5" s="254"/>
      <c r="AA5" s="254"/>
      <c r="AB5" s="254"/>
      <c r="AC5" s="254"/>
      <c r="AD5" s="254"/>
      <c r="AE5" s="254"/>
      <c r="AF5" s="254"/>
      <c r="AG5" s="254"/>
      <c r="AH5" s="254"/>
    </row>
    <row r="6" spans="3:34" ht="13.5">
      <c r="C6" s="28" t="s">
        <v>191</v>
      </c>
      <c r="D6" s="59" t="str">
        <f t="shared" ref="D6:D23" si="0">RIGHT($C6,LEN($C6)-FIND(" ",$C6))</f>
        <v>Doe</v>
      </c>
      <c r="E6" s="48">
        <v>1</v>
      </c>
      <c r="F6" s="48" t="s">
        <v>1</v>
      </c>
      <c r="G6" s="49">
        <v>2</v>
      </c>
      <c r="H6" s="29">
        <v>61500</v>
      </c>
      <c r="I6" s="66">
        <v>0.08</v>
      </c>
      <c r="J6" s="63">
        <f t="shared" ref="J6:J23" si="1">$H6+($H6*$I6)</f>
        <v>66420</v>
      </c>
      <c r="K6" s="73">
        <f t="shared" ref="K6:K23" si="2">_xlfn.PERCENTRANK.EXC($J$5:$J$23,$J6)</f>
        <v>0.3</v>
      </c>
      <c r="N6" s="255"/>
      <c r="O6" s="255"/>
      <c r="P6" s="255"/>
      <c r="Q6" s="255"/>
      <c r="R6" s="255"/>
      <c r="S6" s="255"/>
      <c r="T6" s="255"/>
      <c r="U6" s="255"/>
      <c r="V6" s="255"/>
      <c r="W6" s="255"/>
      <c r="Y6" s="254"/>
      <c r="Z6" s="254"/>
      <c r="AA6" s="254"/>
      <c r="AB6" s="254"/>
      <c r="AC6" s="254"/>
      <c r="AD6" s="254"/>
      <c r="AE6" s="254"/>
      <c r="AF6" s="254"/>
      <c r="AG6" s="254"/>
      <c r="AH6" s="254"/>
    </row>
    <row r="7" spans="3:34" ht="13.5">
      <c r="C7" s="28" t="s">
        <v>192</v>
      </c>
      <c r="D7" s="59" t="str">
        <f t="shared" si="0"/>
        <v>Sample</v>
      </c>
      <c r="E7" s="48">
        <v>1</v>
      </c>
      <c r="F7" s="48" t="s">
        <v>1</v>
      </c>
      <c r="G7" s="49">
        <v>2</v>
      </c>
      <c r="H7" s="29">
        <v>59800</v>
      </c>
      <c r="I7" s="66">
        <v>0.08</v>
      </c>
      <c r="J7" s="63">
        <f t="shared" si="1"/>
        <v>64584</v>
      </c>
      <c r="K7" s="73">
        <f t="shared" si="2"/>
        <v>0.25</v>
      </c>
      <c r="N7" s="255"/>
      <c r="O7" s="255"/>
      <c r="P7" s="255"/>
      <c r="Q7" s="255"/>
      <c r="R7" s="255"/>
      <c r="S7" s="255"/>
      <c r="T7" s="255"/>
      <c r="U7" s="255"/>
      <c r="V7" s="255"/>
      <c r="W7" s="255"/>
      <c r="Y7" s="254"/>
      <c r="Z7" s="254"/>
      <c r="AA7" s="254"/>
      <c r="AB7" s="254"/>
      <c r="AC7" s="254"/>
      <c r="AD7" s="254"/>
      <c r="AE7" s="254"/>
      <c r="AF7" s="254"/>
      <c r="AG7" s="254"/>
      <c r="AH7" s="254"/>
    </row>
    <row r="8" spans="3:34" ht="13.5">
      <c r="C8" s="28" t="s">
        <v>193</v>
      </c>
      <c r="D8" s="59" t="str">
        <f t="shared" si="0"/>
        <v>Sample</v>
      </c>
      <c r="E8" s="48">
        <v>1</v>
      </c>
      <c r="F8" s="48" t="s">
        <v>207</v>
      </c>
      <c r="G8" s="49">
        <v>3</v>
      </c>
      <c r="H8" s="29">
        <v>68900</v>
      </c>
      <c r="I8" s="66">
        <v>0.08</v>
      </c>
      <c r="J8" s="63">
        <f t="shared" si="1"/>
        <v>74412</v>
      </c>
      <c r="K8" s="73">
        <f t="shared" si="2"/>
        <v>0.7</v>
      </c>
      <c r="N8" s="255"/>
      <c r="O8" s="255"/>
      <c r="P8" s="255"/>
      <c r="Q8" s="255"/>
      <c r="R8" s="255"/>
      <c r="S8" s="255"/>
      <c r="T8" s="255"/>
      <c r="U8" s="255"/>
      <c r="V8" s="255"/>
      <c r="W8" s="255"/>
      <c r="Y8" s="254"/>
      <c r="Z8" s="254"/>
      <c r="AA8" s="254"/>
      <c r="AB8" s="254"/>
      <c r="AC8" s="254"/>
      <c r="AD8" s="254"/>
      <c r="AE8" s="254"/>
      <c r="AF8" s="254"/>
      <c r="AG8" s="254"/>
      <c r="AH8" s="254"/>
    </row>
    <row r="9" spans="3:34" ht="13.5">
      <c r="C9" s="28" t="s">
        <v>194</v>
      </c>
      <c r="D9" s="59" t="str">
        <f t="shared" si="0"/>
        <v>Test</v>
      </c>
      <c r="E9" s="48">
        <v>1</v>
      </c>
      <c r="F9" s="48" t="s">
        <v>207</v>
      </c>
      <c r="G9" s="49">
        <v>3</v>
      </c>
      <c r="H9" s="29">
        <v>72250</v>
      </c>
      <c r="I9" s="66">
        <v>0.08</v>
      </c>
      <c r="J9" s="63">
        <f t="shared" si="1"/>
        <v>78030</v>
      </c>
      <c r="K9" s="73">
        <f t="shared" si="2"/>
        <v>0.8</v>
      </c>
      <c r="N9" s="255"/>
      <c r="O9" s="255"/>
      <c r="P9" s="255"/>
      <c r="Q9" s="255"/>
      <c r="R9" s="255"/>
      <c r="S9" s="255"/>
      <c r="T9" s="255"/>
      <c r="U9" s="255"/>
      <c r="V9" s="255"/>
      <c r="W9" s="255"/>
      <c r="Y9" s="254"/>
      <c r="Z9" s="254"/>
      <c r="AA9" s="254"/>
      <c r="AB9" s="254"/>
      <c r="AC9" s="254"/>
      <c r="AD9" s="254"/>
      <c r="AE9" s="254"/>
      <c r="AF9" s="254"/>
      <c r="AG9" s="254"/>
      <c r="AH9" s="254"/>
    </row>
    <row r="10" spans="3:34" ht="13.5">
      <c r="C10" s="28" t="s">
        <v>195</v>
      </c>
      <c r="D10" s="59" t="str">
        <f t="shared" si="0"/>
        <v>Data</v>
      </c>
      <c r="E10" s="48">
        <v>1</v>
      </c>
      <c r="F10" s="48" t="s">
        <v>1</v>
      </c>
      <c r="G10" s="49">
        <v>2</v>
      </c>
      <c r="H10" s="29">
        <v>62000</v>
      </c>
      <c r="I10" s="66">
        <v>0.08</v>
      </c>
      <c r="J10" s="63">
        <f t="shared" si="1"/>
        <v>66960</v>
      </c>
      <c r="K10" s="73">
        <f t="shared" si="2"/>
        <v>0.35</v>
      </c>
      <c r="N10" s="255"/>
      <c r="O10" s="255"/>
      <c r="P10" s="255"/>
      <c r="Q10" s="255"/>
      <c r="R10" s="255"/>
      <c r="S10" s="255"/>
      <c r="T10" s="255"/>
      <c r="U10" s="255"/>
      <c r="V10" s="255"/>
      <c r="W10" s="255"/>
      <c r="Y10" s="254"/>
      <c r="Z10" s="254"/>
      <c r="AA10" s="254"/>
      <c r="AB10" s="254"/>
      <c r="AC10" s="254"/>
      <c r="AD10" s="254"/>
      <c r="AE10" s="254"/>
      <c r="AF10" s="254"/>
      <c r="AG10" s="254"/>
      <c r="AH10" s="254"/>
    </row>
    <row r="11" spans="3:34" ht="13.5">
      <c r="C11" s="28" t="s">
        <v>196</v>
      </c>
      <c r="D11" s="59" t="str">
        <f t="shared" si="0"/>
        <v>Data</v>
      </c>
      <c r="E11" s="48">
        <v>1</v>
      </c>
      <c r="F11" s="48" t="s">
        <v>208</v>
      </c>
      <c r="G11" s="49">
        <v>4</v>
      </c>
      <c r="H11" s="29">
        <v>78000</v>
      </c>
      <c r="I11" s="66">
        <v>0.1</v>
      </c>
      <c r="J11" s="63">
        <f t="shared" si="1"/>
        <v>85800</v>
      </c>
      <c r="K11" s="73">
        <f t="shared" si="2"/>
        <v>0.9</v>
      </c>
      <c r="N11" s="255"/>
      <c r="O11" s="255"/>
      <c r="P11" s="255"/>
      <c r="Q11" s="255"/>
      <c r="R11" s="255"/>
      <c r="S11" s="255"/>
      <c r="T11" s="255"/>
      <c r="U11" s="255"/>
      <c r="V11" s="255"/>
      <c r="W11" s="255"/>
      <c r="Y11" s="254"/>
      <c r="Z11" s="254"/>
      <c r="AA11" s="254"/>
      <c r="AB11" s="254"/>
      <c r="AC11" s="254"/>
      <c r="AD11" s="254"/>
      <c r="AE11" s="254"/>
      <c r="AF11" s="254"/>
      <c r="AG11" s="254"/>
      <c r="AH11" s="254"/>
    </row>
    <row r="12" spans="3:34" ht="13.5">
      <c r="C12" s="28" t="s">
        <v>197</v>
      </c>
      <c r="D12" s="59" t="str">
        <f t="shared" si="0"/>
        <v>Anonymous</v>
      </c>
      <c r="E12" s="48">
        <v>1</v>
      </c>
      <c r="F12" s="48" t="s">
        <v>1</v>
      </c>
      <c r="G12" s="49">
        <v>2</v>
      </c>
      <c r="H12" s="29">
        <v>63000</v>
      </c>
      <c r="I12" s="66">
        <v>0.08</v>
      </c>
      <c r="J12" s="63">
        <f t="shared" si="1"/>
        <v>68040</v>
      </c>
      <c r="K12" s="73">
        <f t="shared" si="2"/>
        <v>0.45</v>
      </c>
      <c r="N12" s="255"/>
      <c r="O12" s="255"/>
      <c r="P12" s="255"/>
      <c r="Q12" s="255"/>
      <c r="R12" s="255"/>
      <c r="S12" s="255"/>
      <c r="T12" s="255"/>
      <c r="U12" s="255"/>
      <c r="V12" s="255"/>
      <c r="W12" s="255"/>
      <c r="Y12" s="254"/>
      <c r="Z12" s="254"/>
      <c r="AA12" s="254"/>
      <c r="AB12" s="254"/>
      <c r="AC12" s="254"/>
      <c r="AD12" s="254"/>
      <c r="AE12" s="254"/>
      <c r="AF12" s="254"/>
      <c r="AG12" s="254"/>
      <c r="AH12" s="254"/>
    </row>
    <row r="13" spans="3:34" ht="13.5">
      <c r="C13" s="28" t="s">
        <v>200</v>
      </c>
      <c r="D13" s="59" t="str">
        <f t="shared" si="0"/>
        <v>Anonymous</v>
      </c>
      <c r="E13" s="48">
        <v>1</v>
      </c>
      <c r="F13" s="48" t="s">
        <v>209</v>
      </c>
      <c r="G13" s="49">
        <v>1</v>
      </c>
      <c r="H13" s="29">
        <v>55000</v>
      </c>
      <c r="I13" s="66">
        <v>0.08</v>
      </c>
      <c r="J13" s="63">
        <f t="shared" si="1"/>
        <v>59400</v>
      </c>
      <c r="K13" s="73">
        <f t="shared" si="2"/>
        <v>0.05</v>
      </c>
      <c r="N13" s="255"/>
      <c r="O13" s="255"/>
      <c r="P13" s="255"/>
      <c r="Q13" s="255"/>
      <c r="R13" s="255"/>
      <c r="S13" s="255"/>
      <c r="T13" s="255"/>
      <c r="U13" s="255"/>
      <c r="V13" s="255"/>
      <c r="W13" s="255"/>
      <c r="Y13" s="254"/>
      <c r="Z13" s="254"/>
      <c r="AA13" s="254"/>
      <c r="AB13" s="254"/>
      <c r="AC13" s="254"/>
      <c r="AD13" s="254"/>
      <c r="AE13" s="254"/>
      <c r="AF13" s="254"/>
      <c r="AG13" s="254"/>
      <c r="AH13" s="254"/>
    </row>
    <row r="14" spans="3:34" ht="13.5">
      <c r="C14" s="28" t="s">
        <v>201</v>
      </c>
      <c r="D14" s="59" t="str">
        <f t="shared" si="0"/>
        <v>Rating</v>
      </c>
      <c r="E14" s="48">
        <v>1</v>
      </c>
      <c r="F14" s="48" t="s">
        <v>1</v>
      </c>
      <c r="G14" s="49">
        <v>2</v>
      </c>
      <c r="H14" s="29">
        <v>62300</v>
      </c>
      <c r="I14" s="66">
        <v>0.08</v>
      </c>
      <c r="J14" s="63">
        <f t="shared" si="1"/>
        <v>67284</v>
      </c>
      <c r="K14" s="73">
        <f t="shared" si="2"/>
        <v>0.4</v>
      </c>
      <c r="N14" s="255"/>
      <c r="O14" s="255"/>
      <c r="P14" s="255"/>
      <c r="Q14" s="255"/>
      <c r="R14" s="255"/>
      <c r="S14" s="255"/>
      <c r="T14" s="255"/>
      <c r="U14" s="255"/>
      <c r="V14" s="255"/>
      <c r="W14" s="255"/>
      <c r="Y14" s="254"/>
      <c r="Z14" s="254"/>
      <c r="AA14" s="254"/>
      <c r="AB14" s="254"/>
      <c r="AC14" s="254"/>
      <c r="AD14" s="254"/>
      <c r="AE14" s="254"/>
      <c r="AF14" s="254"/>
      <c r="AG14" s="254"/>
      <c r="AH14" s="254"/>
    </row>
    <row r="15" spans="3:34" ht="13.5">
      <c r="C15" s="28" t="s">
        <v>202</v>
      </c>
      <c r="D15" s="59" t="str">
        <f t="shared" si="0"/>
        <v>Rating</v>
      </c>
      <c r="E15" s="48">
        <v>1</v>
      </c>
      <c r="F15" s="48" t="s">
        <v>1</v>
      </c>
      <c r="G15" s="49">
        <v>2</v>
      </c>
      <c r="H15" s="29">
        <v>63900</v>
      </c>
      <c r="I15" s="66">
        <v>0.08</v>
      </c>
      <c r="J15" s="63">
        <f t="shared" si="1"/>
        <v>69012</v>
      </c>
      <c r="K15" s="73">
        <f t="shared" si="2"/>
        <v>0.5</v>
      </c>
      <c r="N15" s="255"/>
      <c r="O15" s="255"/>
      <c r="P15" s="255"/>
      <c r="Q15" s="255"/>
      <c r="R15" s="255"/>
      <c r="S15" s="255"/>
      <c r="T15" s="255"/>
      <c r="U15" s="255"/>
      <c r="V15" s="255"/>
      <c r="W15" s="255"/>
      <c r="Y15" s="254"/>
      <c r="Z15" s="254"/>
      <c r="AA15" s="254"/>
      <c r="AB15" s="254"/>
      <c r="AC15" s="254"/>
      <c r="AD15" s="254"/>
      <c r="AE15" s="254"/>
      <c r="AF15" s="254"/>
      <c r="AG15" s="254"/>
      <c r="AH15" s="254"/>
    </row>
    <row r="16" spans="3:34" ht="13.5">
      <c r="C16" s="28" t="s">
        <v>198</v>
      </c>
      <c r="D16" s="59" t="str">
        <f t="shared" si="0"/>
        <v>Axis</v>
      </c>
      <c r="E16" s="48">
        <v>1</v>
      </c>
      <c r="F16" s="48" t="s">
        <v>1</v>
      </c>
      <c r="G16" s="49">
        <v>2</v>
      </c>
      <c r="H16" s="29">
        <v>64000</v>
      </c>
      <c r="I16" s="66">
        <v>0.08</v>
      </c>
      <c r="J16" s="63">
        <f t="shared" si="1"/>
        <v>69120</v>
      </c>
      <c r="K16" s="73">
        <f t="shared" si="2"/>
        <v>0.55000000000000004</v>
      </c>
      <c r="N16" s="255"/>
      <c r="O16" s="255"/>
      <c r="P16" s="255"/>
      <c r="Q16" s="255"/>
      <c r="R16" s="255"/>
      <c r="S16" s="255"/>
      <c r="T16" s="255"/>
      <c r="U16" s="255"/>
      <c r="V16" s="255"/>
      <c r="W16" s="255"/>
      <c r="Y16" s="254"/>
      <c r="Z16" s="254"/>
      <c r="AA16" s="254"/>
      <c r="AB16" s="254"/>
      <c r="AC16" s="254"/>
      <c r="AD16" s="254"/>
      <c r="AE16" s="254"/>
      <c r="AF16" s="254"/>
      <c r="AG16" s="254"/>
      <c r="AH16" s="254"/>
    </row>
    <row r="17" spans="1:34" ht="13.5">
      <c r="C17" s="28" t="s">
        <v>199</v>
      </c>
      <c r="D17" s="59" t="str">
        <f t="shared" si="0"/>
        <v>Axis</v>
      </c>
      <c r="E17" s="48">
        <v>1</v>
      </c>
      <c r="F17" s="48" t="s">
        <v>207</v>
      </c>
      <c r="G17" s="49">
        <v>3</v>
      </c>
      <c r="H17" s="29">
        <v>67000</v>
      </c>
      <c r="I17" s="66">
        <v>0.08</v>
      </c>
      <c r="J17" s="63">
        <f t="shared" si="1"/>
        <v>72360</v>
      </c>
      <c r="K17" s="73">
        <f t="shared" si="2"/>
        <v>0.65</v>
      </c>
      <c r="N17" s="255"/>
      <c r="O17" s="255"/>
      <c r="P17" s="255"/>
      <c r="Q17" s="255"/>
      <c r="R17" s="255"/>
      <c r="S17" s="255"/>
      <c r="T17" s="255"/>
      <c r="U17" s="255"/>
      <c r="V17" s="255"/>
      <c r="W17" s="255"/>
      <c r="Y17" s="254"/>
      <c r="Z17" s="254"/>
      <c r="AA17" s="254"/>
      <c r="AB17" s="254"/>
      <c r="AC17" s="254"/>
      <c r="AD17" s="254"/>
      <c r="AE17" s="254"/>
      <c r="AF17" s="254"/>
      <c r="AG17" s="254"/>
      <c r="AH17" s="254"/>
    </row>
    <row r="18" spans="1:34" ht="13.5">
      <c r="C18" s="28" t="s">
        <v>203</v>
      </c>
      <c r="D18" s="59" t="str">
        <f t="shared" si="0"/>
        <v>Excel</v>
      </c>
      <c r="E18" s="48">
        <v>1</v>
      </c>
      <c r="F18" s="48" t="s">
        <v>209</v>
      </c>
      <c r="G18" s="49">
        <v>1</v>
      </c>
      <c r="H18" s="29">
        <v>57600</v>
      </c>
      <c r="I18" s="66">
        <v>0.08</v>
      </c>
      <c r="J18" s="63">
        <f t="shared" si="1"/>
        <v>62208</v>
      </c>
      <c r="K18" s="73">
        <f t="shared" si="2"/>
        <v>0.1</v>
      </c>
      <c r="N18" s="255"/>
      <c r="O18" s="255"/>
      <c r="P18" s="255"/>
      <c r="Q18" s="255"/>
      <c r="R18" s="255"/>
      <c r="S18" s="255"/>
      <c r="T18" s="255"/>
      <c r="U18" s="255"/>
      <c r="V18" s="255"/>
      <c r="W18" s="255"/>
      <c r="Y18" s="254"/>
      <c r="Z18" s="254"/>
      <c r="AA18" s="254"/>
      <c r="AB18" s="254"/>
      <c r="AC18" s="254"/>
      <c r="AD18" s="254"/>
      <c r="AE18" s="254"/>
      <c r="AF18" s="254"/>
      <c r="AG18" s="254"/>
      <c r="AH18" s="254"/>
    </row>
    <row r="19" spans="1:34" ht="13.5">
      <c r="C19" s="28" t="s">
        <v>204</v>
      </c>
      <c r="D19" s="59" t="str">
        <f t="shared" si="0"/>
        <v>Excel</v>
      </c>
      <c r="E19" s="48">
        <v>1</v>
      </c>
      <c r="F19" s="48" t="s">
        <v>207</v>
      </c>
      <c r="G19" s="49">
        <v>3</v>
      </c>
      <c r="H19" s="29">
        <v>65000</v>
      </c>
      <c r="I19" s="66">
        <v>0.08</v>
      </c>
      <c r="J19" s="63">
        <f t="shared" si="1"/>
        <v>70200</v>
      </c>
      <c r="K19" s="73">
        <f t="shared" si="2"/>
        <v>0.6</v>
      </c>
      <c r="N19" s="255"/>
      <c r="O19" s="255"/>
      <c r="P19" s="255"/>
      <c r="Q19" s="255"/>
      <c r="R19" s="255"/>
      <c r="S19" s="255"/>
      <c r="T19" s="255"/>
      <c r="U19" s="255"/>
      <c r="V19" s="255"/>
      <c r="W19" s="255"/>
      <c r="Y19" s="254"/>
      <c r="Z19" s="254"/>
      <c r="AA19" s="254"/>
      <c r="AB19" s="254"/>
      <c r="AC19" s="254"/>
      <c r="AD19" s="254"/>
      <c r="AE19" s="254"/>
      <c r="AF19" s="254"/>
      <c r="AG19" s="254"/>
      <c r="AH19" s="254"/>
    </row>
    <row r="20" spans="1:34" ht="13.5">
      <c r="C20" s="28" t="s">
        <v>205</v>
      </c>
      <c r="D20" s="59" t="str">
        <f t="shared" si="0"/>
        <v>Formula</v>
      </c>
      <c r="E20" s="48">
        <v>1</v>
      </c>
      <c r="F20" s="48" t="s">
        <v>1</v>
      </c>
      <c r="G20" s="49">
        <v>2</v>
      </c>
      <c r="H20" s="29">
        <v>59000</v>
      </c>
      <c r="I20" s="66">
        <v>0.08</v>
      </c>
      <c r="J20" s="63">
        <f t="shared" si="1"/>
        <v>63720</v>
      </c>
      <c r="K20" s="73">
        <f t="shared" si="2"/>
        <v>0.15</v>
      </c>
      <c r="N20" s="255"/>
      <c r="O20" s="255"/>
      <c r="P20" s="255"/>
      <c r="Q20" s="255"/>
      <c r="R20" s="255"/>
      <c r="S20" s="255"/>
      <c r="T20" s="255"/>
      <c r="U20" s="255"/>
      <c r="V20" s="255"/>
      <c r="W20" s="255"/>
      <c r="Y20" s="254"/>
      <c r="Z20" s="254"/>
      <c r="AA20" s="254"/>
      <c r="AB20" s="254"/>
      <c r="AC20" s="254"/>
      <c r="AD20" s="254"/>
      <c r="AE20" s="254"/>
      <c r="AF20" s="254"/>
      <c r="AG20" s="254"/>
      <c r="AH20" s="254"/>
    </row>
    <row r="21" spans="1:34" ht="13.5">
      <c r="C21" s="28" t="s">
        <v>206</v>
      </c>
      <c r="D21" s="59" t="str">
        <f t="shared" si="0"/>
        <v>Formula</v>
      </c>
      <c r="E21" s="48">
        <v>1</v>
      </c>
      <c r="F21" s="48" t="s">
        <v>1</v>
      </c>
      <c r="G21" s="49">
        <v>2</v>
      </c>
      <c r="H21" s="29">
        <v>59000</v>
      </c>
      <c r="I21" s="66">
        <v>0.08</v>
      </c>
      <c r="J21" s="63">
        <f t="shared" si="1"/>
        <v>63720</v>
      </c>
      <c r="K21" s="73">
        <f t="shared" si="2"/>
        <v>0.15</v>
      </c>
      <c r="N21" s="255"/>
      <c r="O21" s="255"/>
      <c r="P21" s="255"/>
      <c r="Q21" s="255"/>
      <c r="R21" s="255"/>
      <c r="S21" s="255"/>
      <c r="T21" s="255"/>
      <c r="U21" s="255"/>
      <c r="V21" s="255"/>
      <c r="W21" s="255"/>
      <c r="Y21" s="254"/>
      <c r="Z21" s="254"/>
      <c r="AA21" s="254"/>
      <c r="AB21" s="254"/>
      <c r="AC21" s="254"/>
      <c r="AD21" s="254"/>
      <c r="AE21" s="254"/>
      <c r="AF21" s="254"/>
      <c r="AG21" s="254"/>
      <c r="AH21" s="254"/>
    </row>
    <row r="22" spans="1:34" ht="13.5">
      <c r="C22" s="50" t="s">
        <v>211</v>
      </c>
      <c r="D22" s="60" t="str">
        <f t="shared" si="0"/>
        <v>Expert</v>
      </c>
      <c r="E22" s="51">
        <v>0.5</v>
      </c>
      <c r="F22" s="51" t="s">
        <v>208</v>
      </c>
      <c r="G22" s="52">
        <v>4</v>
      </c>
      <c r="H22" s="76">
        <v>80000</v>
      </c>
      <c r="I22" s="67">
        <v>0.15</v>
      </c>
      <c r="J22" s="64">
        <f t="shared" si="1"/>
        <v>92000</v>
      </c>
      <c r="K22" s="74">
        <f t="shared" si="2"/>
        <v>0.95</v>
      </c>
      <c r="N22" s="255"/>
      <c r="O22" s="255"/>
      <c r="P22" s="255"/>
      <c r="Q22" s="255"/>
      <c r="R22" s="255"/>
      <c r="S22" s="255"/>
      <c r="T22" s="255"/>
      <c r="U22" s="255"/>
      <c r="V22" s="255"/>
      <c r="W22" s="255"/>
      <c r="Y22" s="254"/>
      <c r="Z22" s="254"/>
      <c r="AA22" s="254"/>
      <c r="AB22" s="254"/>
      <c r="AC22" s="254"/>
      <c r="AD22" s="254"/>
      <c r="AE22" s="254"/>
      <c r="AF22" s="254"/>
      <c r="AG22" s="254"/>
      <c r="AH22" s="254"/>
    </row>
    <row r="23" spans="1:34" ht="13.9" thickBot="1">
      <c r="C23" s="53" t="s">
        <v>212</v>
      </c>
      <c r="D23" s="61" t="str">
        <f t="shared" si="0"/>
        <v>Expert</v>
      </c>
      <c r="E23" s="57">
        <v>0.5</v>
      </c>
      <c r="F23" s="114" t="s">
        <v>208</v>
      </c>
      <c r="G23" s="77">
        <v>4</v>
      </c>
      <c r="H23" s="78">
        <v>73600</v>
      </c>
      <c r="I23" s="68">
        <v>0.15</v>
      </c>
      <c r="J23" s="65">
        <f t="shared" si="1"/>
        <v>84640</v>
      </c>
      <c r="K23" s="75">
        <f t="shared" si="2"/>
        <v>0.85</v>
      </c>
      <c r="N23" s="255"/>
      <c r="O23" s="255"/>
      <c r="P23" s="255"/>
      <c r="Q23" s="255"/>
      <c r="R23" s="255"/>
      <c r="S23" s="255"/>
      <c r="T23" s="255"/>
      <c r="U23" s="255"/>
      <c r="V23" s="255"/>
      <c r="W23" s="255"/>
      <c r="Y23" s="254"/>
      <c r="Z23" s="254"/>
      <c r="AA23" s="254"/>
      <c r="AB23" s="254"/>
      <c r="AC23" s="254"/>
      <c r="AD23" s="254"/>
      <c r="AE23" s="254"/>
      <c r="AF23" s="254"/>
      <c r="AG23" s="254"/>
      <c r="AH23" s="254"/>
    </row>
    <row r="24" spans="1:34" ht="13.9" thickTop="1">
      <c r="C24" s="50" t="s">
        <v>220</v>
      </c>
      <c r="D24" s="50"/>
      <c r="E24" s="51"/>
      <c r="F24" s="51"/>
      <c r="G24" s="54">
        <f>AVERAGE(G$5:G$23)</f>
        <v>2.4736842105263159</v>
      </c>
      <c r="H24" s="64">
        <f t="shared" ref="H24:J24" si="3">AVERAGE(H$5:H$23)</f>
        <v>65413.15789473684</v>
      </c>
      <c r="I24" s="52"/>
      <c r="J24" s="64">
        <f t="shared" si="3"/>
        <v>71294.210526315786</v>
      </c>
      <c r="K24" s="52"/>
    </row>
    <row r="25" spans="1:34" ht="13.5">
      <c r="C25" s="28" t="s">
        <v>221</v>
      </c>
      <c r="D25" s="28"/>
      <c r="E25" s="48"/>
      <c r="F25" s="48"/>
      <c r="G25" s="55">
        <f>SUMPRODUCT(G$5:G$23,$E$5:$E$23)/SUM($E$5:$E$23)</f>
        <v>2.3888888888888888</v>
      </c>
      <c r="H25" s="63">
        <f t="shared" ref="H25:J25" si="4">SUMPRODUCT(H$5:H$23,$E$5:$E$23)/SUM($E$5:$E$23)</f>
        <v>64780.555555555555</v>
      </c>
      <c r="I25" s="49"/>
      <c r="J25" s="63">
        <f t="shared" si="4"/>
        <v>70348.333333333328</v>
      </c>
      <c r="K25" s="49"/>
    </row>
    <row r="26" spans="1:34" ht="3" customHeight="1">
      <c r="H26" s="72"/>
      <c r="J26" s="72"/>
    </row>
    <row r="27" spans="1:34" ht="13.9">
      <c r="A27" s="62">
        <v>0.75</v>
      </c>
      <c r="C27" s="28" t="s">
        <v>215</v>
      </c>
      <c r="D27" s="28"/>
      <c r="E27" s="48"/>
      <c r="F27" s="48"/>
      <c r="G27" s="55">
        <f>_xlfn.PERCENTILE.EXC(G$5:G$23,$A27)</f>
        <v>3</v>
      </c>
      <c r="H27" s="63">
        <f t="shared" ref="H27:J29" si="5">_xlfn.PERCENTILE.EXC(H$5:H$23,$A27)</f>
        <v>71000</v>
      </c>
      <c r="I27" s="49"/>
      <c r="J27" s="63">
        <f t="shared" si="5"/>
        <v>76680</v>
      </c>
      <c r="K27" s="49"/>
    </row>
    <row r="28" spans="1:34" ht="13.9">
      <c r="A28" s="62">
        <v>0.5</v>
      </c>
      <c r="C28" s="28" t="s">
        <v>222</v>
      </c>
      <c r="D28" s="28"/>
      <c r="E28" s="48"/>
      <c r="F28" s="48"/>
      <c r="G28" s="55">
        <f t="shared" ref="G28:G29" si="6">_xlfn.PERCENTILE.EXC(G$5:G$23,$A28)</f>
        <v>2</v>
      </c>
      <c r="H28" s="63">
        <f t="shared" si="5"/>
        <v>63900</v>
      </c>
      <c r="I28" s="49"/>
      <c r="J28" s="63">
        <f t="shared" si="5"/>
        <v>69012</v>
      </c>
      <c r="K28" s="49"/>
    </row>
    <row r="29" spans="1:34" ht="13.9">
      <c r="A29" s="62">
        <v>0.25</v>
      </c>
      <c r="C29" s="28" t="s">
        <v>216</v>
      </c>
      <c r="D29" s="28"/>
      <c r="E29" s="48"/>
      <c r="F29" s="48"/>
      <c r="G29" s="55">
        <f t="shared" si="6"/>
        <v>2</v>
      </c>
      <c r="H29" s="63">
        <f t="shared" si="5"/>
        <v>59800</v>
      </c>
      <c r="I29" s="49"/>
      <c r="J29" s="63">
        <f t="shared" si="5"/>
        <v>64584</v>
      </c>
      <c r="K29" s="49"/>
    </row>
    <row r="30" spans="1:34" ht="3" customHeight="1"/>
    <row r="31" spans="1:34" ht="15" customHeight="1">
      <c r="F31" s="58"/>
      <c r="G31" s="58"/>
      <c r="H31" s="58"/>
      <c r="I31" s="58"/>
      <c r="J31" s="58"/>
      <c r="K31" s="58"/>
    </row>
    <row r="32" spans="1:34" ht="15" customHeight="1">
      <c r="F32" s="58"/>
      <c r="G32" s="58"/>
      <c r="H32" s="58"/>
      <c r="I32" s="58"/>
      <c r="J32" s="58"/>
      <c r="K32" s="58"/>
    </row>
    <row r="33" spans="3:4" ht="15" customHeight="1">
      <c r="C33" s="257" t="s">
        <v>252</v>
      </c>
      <c r="D33" s="258" t="s">
        <v>253</v>
      </c>
    </row>
    <row r="34" spans="3:4" ht="15" customHeight="1">
      <c r="C34" s="257"/>
      <c r="D34" s="258"/>
    </row>
    <row r="35" spans="3:4" ht="15" customHeight="1"/>
    <row r="36" spans="3:4" ht="15" customHeight="1"/>
  </sheetData>
  <mergeCells count="4">
    <mergeCell ref="N5:W23"/>
    <mergeCell ref="Y5:AH23"/>
    <mergeCell ref="C33:C34"/>
    <mergeCell ref="D33:D34"/>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7030A0"/>
  </sheetPr>
  <dimension ref="A1:P46"/>
  <sheetViews>
    <sheetView showGridLines="0" zoomScale="70" zoomScaleNormal="70" workbookViewId="0">
      <selection activeCell="F30" sqref="F30"/>
    </sheetView>
  </sheetViews>
  <sheetFormatPr defaultColWidth="0" defaultRowHeight="0" customHeight="1" zeroHeight="1"/>
  <cols>
    <col min="1" max="1" width="1.5" style="1" customWidth="1"/>
    <col min="2" max="2" width="49.875" style="1" bestFit="1" customWidth="1"/>
    <col min="3" max="4" width="25.625" style="1" hidden="1" customWidth="1"/>
    <col min="5" max="10" width="23.625" style="1" customWidth="1"/>
    <col min="11" max="11" width="13.375" style="1" customWidth="1"/>
    <col min="12" max="14" width="9" style="1" customWidth="1"/>
    <col min="15" max="16" width="0" style="1" hidden="1" customWidth="1"/>
    <col min="17" max="16384" width="8" style="1" hidden="1"/>
  </cols>
  <sheetData>
    <row r="1" spans="2:14" customFormat="1" ht="3" customHeight="1"/>
    <row r="2" spans="2:14" customFormat="1" ht="23.25">
      <c r="B2" s="79" t="s">
        <v>281</v>
      </c>
    </row>
    <row r="3" spans="2:14" customFormat="1" ht="23.25">
      <c r="B3" s="80" t="s">
        <v>235</v>
      </c>
    </row>
    <row r="4" spans="2:14" customFormat="1" ht="3" customHeight="1">
      <c r="B4" s="72"/>
      <c r="C4" s="72"/>
      <c r="D4" s="72"/>
      <c r="E4" s="72"/>
      <c r="F4" s="72"/>
      <c r="G4" s="72"/>
      <c r="H4" s="72"/>
      <c r="I4" s="72"/>
      <c r="J4" s="72"/>
      <c r="K4" s="72"/>
      <c r="L4" s="72"/>
      <c r="M4" s="72"/>
      <c r="N4" s="72"/>
    </row>
    <row r="5" spans="2:14" customFormat="1" ht="0.95"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3.5"/>
    <row r="8" spans="2:14" ht="13.5"/>
    <row r="9" spans="2:14" ht="13.5"/>
    <row r="10" spans="2:14" ht="13.5"/>
    <row r="11" spans="2:14" ht="13.5"/>
    <row r="12" spans="2:14" ht="13.9" thickBot="1"/>
    <row r="13" spans="2:14" ht="18" thickBot="1">
      <c r="B13" s="243" t="s">
        <v>280</v>
      </c>
      <c r="C13" s="244"/>
      <c r="D13" s="244"/>
      <c r="E13" s="265" t="s">
        <v>3</v>
      </c>
      <c r="F13" s="265"/>
      <c r="G13" s="265"/>
      <c r="H13" s="265"/>
      <c r="I13" s="265"/>
      <c r="J13" s="266"/>
    </row>
    <row r="14" spans="2:14" ht="17.25">
      <c r="B14" s="153" t="s">
        <v>319</v>
      </c>
      <c r="C14" s="154"/>
      <c r="D14" s="154"/>
      <c r="E14" s="250" t="s">
        <v>288</v>
      </c>
      <c r="F14" s="250"/>
      <c r="G14" s="250"/>
      <c r="H14" s="250"/>
      <c r="I14" s="250"/>
      <c r="J14" s="251"/>
    </row>
    <row r="15" spans="2:14" ht="17.25">
      <c r="B15" s="149" t="s">
        <v>320</v>
      </c>
      <c r="C15" s="150"/>
      <c r="D15" s="150"/>
      <c r="E15" s="239" t="s">
        <v>289</v>
      </c>
      <c r="F15" s="239"/>
      <c r="G15" s="239"/>
      <c r="H15" s="239"/>
      <c r="I15" s="239"/>
      <c r="J15" s="240"/>
    </row>
    <row r="16" spans="2:14" ht="17.25">
      <c r="B16" s="149" t="s">
        <v>295</v>
      </c>
      <c r="C16" s="150"/>
      <c r="D16" s="150"/>
      <c r="E16" s="239" t="s">
        <v>290</v>
      </c>
      <c r="F16" s="239"/>
      <c r="G16" s="239"/>
      <c r="H16" s="239"/>
      <c r="I16" s="239"/>
      <c r="J16" s="240"/>
    </row>
    <row r="17" spans="2:10" ht="17.25">
      <c r="B17" s="151" t="s">
        <v>296</v>
      </c>
      <c r="C17" s="152"/>
      <c r="D17" s="152"/>
      <c r="E17" s="239" t="s">
        <v>291</v>
      </c>
      <c r="F17" s="239"/>
      <c r="G17" s="239"/>
      <c r="H17" s="239"/>
      <c r="I17" s="239"/>
      <c r="J17" s="240"/>
    </row>
    <row r="18" spans="2:10" ht="17.25">
      <c r="B18" s="149" t="s">
        <v>297</v>
      </c>
      <c r="C18" s="150"/>
      <c r="D18" s="150"/>
      <c r="E18" s="239" t="s">
        <v>292</v>
      </c>
      <c r="F18" s="239"/>
      <c r="G18" s="239"/>
      <c r="H18" s="239"/>
      <c r="I18" s="239"/>
      <c r="J18" s="240"/>
    </row>
    <row r="19" spans="2:10" ht="35.1" customHeight="1">
      <c r="B19" s="149" t="s">
        <v>299</v>
      </c>
      <c r="C19" s="150"/>
      <c r="D19" s="150"/>
      <c r="E19" s="263" t="s">
        <v>294</v>
      </c>
      <c r="F19" s="263"/>
      <c r="G19" s="263"/>
      <c r="H19" s="263"/>
      <c r="I19" s="263"/>
      <c r="J19" s="264"/>
    </row>
    <row r="20" spans="2:10" ht="17.649999999999999">
      <c r="B20" s="149" t="s">
        <v>300</v>
      </c>
      <c r="C20" s="150"/>
      <c r="D20" s="150"/>
      <c r="E20" s="259" t="s">
        <v>282</v>
      </c>
      <c r="F20" s="259"/>
      <c r="G20" s="259"/>
      <c r="H20" s="259"/>
      <c r="I20" s="259"/>
      <c r="J20" s="260"/>
    </row>
    <row r="21" spans="2:10" ht="17.649999999999999">
      <c r="B21" s="149" t="s">
        <v>301</v>
      </c>
      <c r="C21" s="150"/>
      <c r="D21" s="150"/>
      <c r="E21" s="259" t="s">
        <v>283</v>
      </c>
      <c r="F21" s="259"/>
      <c r="G21" s="259"/>
      <c r="H21" s="259"/>
      <c r="I21" s="259"/>
      <c r="J21" s="260"/>
    </row>
    <row r="22" spans="2:10" ht="17.25">
      <c r="B22" s="145" t="s">
        <v>308</v>
      </c>
      <c r="C22" s="146"/>
      <c r="D22" s="146"/>
      <c r="E22" s="2" t="s">
        <v>309</v>
      </c>
      <c r="F22" s="2"/>
      <c r="G22" s="2"/>
      <c r="H22" s="2"/>
      <c r="I22" s="2"/>
      <c r="J22" s="15"/>
    </row>
    <row r="23" spans="2:10" ht="17.25">
      <c r="B23" s="145" t="s">
        <v>304</v>
      </c>
      <c r="C23" s="146"/>
      <c r="D23" s="146"/>
      <c r="E23" s="2" t="s">
        <v>302</v>
      </c>
      <c r="F23" s="2"/>
      <c r="G23" s="2"/>
      <c r="H23" s="2"/>
      <c r="I23" s="2"/>
      <c r="J23" s="15"/>
    </row>
    <row r="24" spans="2:10" ht="17.25">
      <c r="B24" s="145" t="s">
        <v>305</v>
      </c>
      <c r="C24" s="146"/>
      <c r="D24" s="146"/>
      <c r="E24" s="2" t="s">
        <v>303</v>
      </c>
      <c r="F24" s="2"/>
      <c r="G24" s="2"/>
      <c r="H24" s="2"/>
      <c r="I24" s="2"/>
      <c r="J24" s="15"/>
    </row>
    <row r="25" spans="2:10" ht="17.25">
      <c r="B25" s="145" t="s">
        <v>284</v>
      </c>
      <c r="C25" s="146"/>
      <c r="D25" s="146"/>
      <c r="E25" s="2" t="s">
        <v>285</v>
      </c>
      <c r="F25" s="2"/>
      <c r="G25" s="2"/>
      <c r="H25" s="2"/>
      <c r="I25" s="2"/>
      <c r="J25" s="15"/>
    </row>
    <row r="26" spans="2:10" ht="17.25">
      <c r="B26" s="145" t="s">
        <v>286</v>
      </c>
      <c r="C26" s="146"/>
      <c r="D26" s="146"/>
      <c r="E26" s="2" t="s">
        <v>287</v>
      </c>
      <c r="F26" s="2"/>
      <c r="G26" s="2"/>
      <c r="H26" s="2"/>
      <c r="I26" s="2"/>
      <c r="J26" s="15"/>
    </row>
    <row r="27" spans="2:10" ht="17.649999999999999">
      <c r="B27" s="145" t="s">
        <v>311</v>
      </c>
      <c r="C27" s="146"/>
      <c r="D27" s="146"/>
      <c r="E27" s="203" t="s">
        <v>313</v>
      </c>
      <c r="F27" s="2"/>
      <c r="G27" s="2"/>
      <c r="H27" s="2"/>
      <c r="I27" s="2"/>
      <c r="J27" s="15"/>
    </row>
    <row r="28" spans="2:10" ht="17.649999999999999">
      <c r="B28" s="145" t="s">
        <v>310</v>
      </c>
      <c r="C28" s="146"/>
      <c r="D28" s="146"/>
      <c r="E28" s="203" t="s">
        <v>312</v>
      </c>
      <c r="F28" s="2"/>
      <c r="G28" s="2"/>
      <c r="H28" s="2"/>
      <c r="I28" s="2"/>
      <c r="J28" s="15"/>
    </row>
    <row r="29" spans="2:10" ht="17.649999999999999">
      <c r="B29" s="145" t="s">
        <v>314</v>
      </c>
      <c r="C29" s="146"/>
      <c r="D29" s="146"/>
      <c r="E29" s="203" t="s">
        <v>315</v>
      </c>
      <c r="F29" s="2"/>
      <c r="G29" s="2"/>
      <c r="H29" s="2"/>
      <c r="I29" s="2"/>
      <c r="J29" s="15"/>
    </row>
    <row r="30" spans="2:10" ht="17.649999999999999">
      <c r="B30" s="145" t="s">
        <v>316</v>
      </c>
      <c r="C30" s="146"/>
      <c r="D30" s="146"/>
      <c r="E30" s="203" t="s">
        <v>317</v>
      </c>
      <c r="F30" s="2"/>
      <c r="G30" s="2"/>
      <c r="H30" s="2"/>
      <c r="I30" s="2"/>
      <c r="J30" s="15"/>
    </row>
    <row r="31" spans="2:10" ht="17.649999999999999">
      <c r="B31" s="145" t="s">
        <v>322</v>
      </c>
      <c r="C31" s="146"/>
      <c r="D31" s="146"/>
      <c r="E31" s="203" t="s">
        <v>323</v>
      </c>
      <c r="F31" s="2"/>
      <c r="G31" s="2"/>
      <c r="H31" s="2"/>
      <c r="I31" s="2"/>
      <c r="J31" s="15"/>
    </row>
    <row r="32" spans="2:10" ht="18" thickBot="1">
      <c r="B32" s="252" t="s">
        <v>318</v>
      </c>
      <c r="C32" s="253"/>
      <c r="D32" s="253"/>
      <c r="E32" s="261" t="s">
        <v>321</v>
      </c>
      <c r="F32" s="261"/>
      <c r="G32" s="261"/>
      <c r="H32" s="261"/>
      <c r="I32" s="261"/>
      <c r="J32" s="262"/>
    </row>
    <row r="33" spans="2:5" ht="13.5">
      <c r="B33" s="148"/>
    </row>
    <row r="34" spans="2:5" ht="17.25">
      <c r="B34" s="2"/>
      <c r="C34" s="16"/>
    </row>
    <row r="35" spans="2:5" ht="14.1" customHeight="1">
      <c r="E35" s="203"/>
    </row>
    <row r="36" spans="2:5" ht="14.1" customHeight="1"/>
    <row r="37" spans="2:5" ht="14.1" customHeight="1"/>
    <row r="38" spans="2:5" ht="14.1" customHeight="1"/>
    <row r="39" spans="2:5" ht="14.1" customHeight="1"/>
    <row r="40" spans="2:5" ht="14.1" customHeight="1"/>
    <row r="41" spans="2:5" ht="14.1" customHeight="1"/>
    <row r="42" spans="2:5" ht="14.1" customHeight="1"/>
    <row r="43" spans="2:5" ht="14.1" customHeight="1"/>
    <row r="44" spans="2:5" ht="14.1" customHeight="1"/>
    <row r="45" spans="2:5" ht="14.1" customHeight="1"/>
    <row r="46" spans="2:5" ht="14.1" customHeight="1"/>
  </sheetData>
  <mergeCells count="12">
    <mergeCell ref="E16:J16"/>
    <mergeCell ref="E17:J17"/>
    <mergeCell ref="E18:J18"/>
    <mergeCell ref="B13:D13"/>
    <mergeCell ref="E13:J13"/>
    <mergeCell ref="E14:J14"/>
    <mergeCell ref="E15:J15"/>
    <mergeCell ref="E21:J21"/>
    <mergeCell ref="B32:D32"/>
    <mergeCell ref="E32:J32"/>
    <mergeCell ref="E19:J19"/>
    <mergeCell ref="E20:J20"/>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rgb="FFFFFF00"/>
  </sheetPr>
  <dimension ref="A1:BE92"/>
  <sheetViews>
    <sheetView showGridLines="0" zoomScale="85" zoomScaleNormal="85" workbookViewId="0">
      <pane ySplit="2" topLeftCell="A3" activePane="bottomLeft" state="frozen"/>
      <selection activeCell="E15" sqref="E15:J15"/>
      <selection pane="bottomLeft" activeCell="C9" sqref="C9"/>
    </sheetView>
  </sheetViews>
  <sheetFormatPr defaultColWidth="0" defaultRowHeight="13.5"/>
  <cols>
    <col min="1" max="1" width="1.5" customWidth="1"/>
    <col min="2" max="2" width="8.625" customWidth="1"/>
    <col min="3" max="3" width="33.625" customWidth="1"/>
    <col min="4" max="4" width="10.625" customWidth="1"/>
    <col min="5" max="6" width="14.625" customWidth="1"/>
    <col min="7" max="7" width="21.625" customWidth="1"/>
    <col min="8" max="53" width="8.625" customWidth="1"/>
    <col min="54" max="57" width="0" hidden="1" customWidth="1"/>
    <col min="58" max="16384" width="9" hidden="1"/>
  </cols>
  <sheetData>
    <row r="1" spans="2:7" ht="14.25" thickBot="1">
      <c r="B1" s="157" t="s">
        <v>362</v>
      </c>
    </row>
    <row r="2" spans="2:7" ht="14.25" thickBot="1">
      <c r="B2" s="166" t="s">
        <v>357</v>
      </c>
      <c r="C2" s="167" t="s">
        <v>358</v>
      </c>
      <c r="D2" s="167" t="s">
        <v>363</v>
      </c>
      <c r="E2" s="167" t="s">
        <v>359</v>
      </c>
      <c r="F2" s="167" t="s">
        <v>360</v>
      </c>
      <c r="G2" s="168" t="s">
        <v>361</v>
      </c>
    </row>
    <row r="3" spans="2:7">
      <c r="B3" s="169">
        <v>79232</v>
      </c>
      <c r="C3" s="160" t="s">
        <v>414</v>
      </c>
      <c r="D3" s="160" t="s">
        <v>435</v>
      </c>
      <c r="E3" s="162">
        <v>123700</v>
      </c>
      <c r="F3" s="164">
        <v>9</v>
      </c>
      <c r="G3" s="161" t="s">
        <v>441</v>
      </c>
    </row>
    <row r="4" spans="2:7">
      <c r="B4" s="170">
        <v>67606</v>
      </c>
      <c r="C4" s="158" t="s">
        <v>390</v>
      </c>
      <c r="D4" s="158" t="s">
        <v>436</v>
      </c>
      <c r="E4" s="163">
        <v>123100</v>
      </c>
      <c r="F4" s="165">
        <v>8</v>
      </c>
      <c r="G4" s="159" t="s">
        <v>437</v>
      </c>
    </row>
    <row r="5" spans="2:7">
      <c r="B5" s="170">
        <v>67303</v>
      </c>
      <c r="C5" s="158" t="s">
        <v>376</v>
      </c>
      <c r="D5" s="158" t="s">
        <v>436</v>
      </c>
      <c r="E5" s="163">
        <v>121800</v>
      </c>
      <c r="F5" s="165">
        <v>10</v>
      </c>
      <c r="G5" s="159" t="s">
        <v>441</v>
      </c>
    </row>
    <row r="6" spans="2:7">
      <c r="B6" s="170">
        <v>91660</v>
      </c>
      <c r="C6" s="158" t="s">
        <v>204</v>
      </c>
      <c r="D6" s="158" t="s">
        <v>436</v>
      </c>
      <c r="E6" s="163">
        <v>119700</v>
      </c>
      <c r="F6" s="165">
        <v>7</v>
      </c>
      <c r="G6" s="159" t="s">
        <v>437</v>
      </c>
    </row>
    <row r="7" spans="2:7">
      <c r="B7" s="170">
        <v>25740</v>
      </c>
      <c r="C7" s="158" t="s">
        <v>368</v>
      </c>
      <c r="D7" s="158" t="s">
        <v>435</v>
      </c>
      <c r="E7" s="163">
        <v>117400</v>
      </c>
      <c r="F7" s="165">
        <v>10</v>
      </c>
      <c r="G7" s="159" t="s">
        <v>441</v>
      </c>
    </row>
    <row r="8" spans="2:7">
      <c r="B8" s="170">
        <v>38270</v>
      </c>
      <c r="C8" s="158" t="s">
        <v>396</v>
      </c>
      <c r="D8" s="158" t="s">
        <v>436</v>
      </c>
      <c r="E8" s="163">
        <v>113500</v>
      </c>
      <c r="F8" s="165">
        <v>8</v>
      </c>
      <c r="G8" s="159" t="s">
        <v>437</v>
      </c>
    </row>
    <row r="9" spans="2:7">
      <c r="B9" s="170">
        <v>28570</v>
      </c>
      <c r="C9" s="158" t="s">
        <v>367</v>
      </c>
      <c r="D9" s="158" t="s">
        <v>436</v>
      </c>
      <c r="E9" s="163">
        <v>112800</v>
      </c>
      <c r="F9" s="165">
        <v>4</v>
      </c>
      <c r="G9" s="159" t="s">
        <v>437</v>
      </c>
    </row>
    <row r="10" spans="2:7">
      <c r="B10" s="170">
        <v>62785</v>
      </c>
      <c r="C10" s="158" t="s">
        <v>374</v>
      </c>
      <c r="D10" s="158" t="s">
        <v>435</v>
      </c>
      <c r="E10" s="163">
        <v>112200</v>
      </c>
      <c r="F10" s="165">
        <v>5</v>
      </c>
      <c r="G10" s="159" t="s">
        <v>437</v>
      </c>
    </row>
    <row r="11" spans="2:7">
      <c r="B11" s="170">
        <v>13648</v>
      </c>
      <c r="C11" s="158" t="s">
        <v>193</v>
      </c>
      <c r="D11" s="158" t="s">
        <v>436</v>
      </c>
      <c r="E11" s="163">
        <v>110800</v>
      </c>
      <c r="F11" s="165">
        <v>3</v>
      </c>
      <c r="G11" s="159" t="s">
        <v>437</v>
      </c>
    </row>
    <row r="12" spans="2:7">
      <c r="B12" s="170">
        <v>36099</v>
      </c>
      <c r="C12" s="158" t="s">
        <v>401</v>
      </c>
      <c r="D12" s="158" t="s">
        <v>435</v>
      </c>
      <c r="E12" s="163">
        <v>110600</v>
      </c>
      <c r="F12" s="165">
        <v>5</v>
      </c>
      <c r="G12" s="159" t="s">
        <v>437</v>
      </c>
    </row>
    <row r="13" spans="2:7">
      <c r="B13" s="170">
        <v>14100</v>
      </c>
      <c r="C13" s="158" t="s">
        <v>429</v>
      </c>
      <c r="D13" s="158" t="s">
        <v>435</v>
      </c>
      <c r="E13" s="163">
        <v>108900</v>
      </c>
      <c r="F13" s="165">
        <v>5</v>
      </c>
      <c r="G13" s="159" t="s">
        <v>438</v>
      </c>
    </row>
    <row r="14" spans="2:7">
      <c r="B14" s="170">
        <v>99220</v>
      </c>
      <c r="C14" s="158" t="s">
        <v>418</v>
      </c>
      <c r="D14" s="158" t="s">
        <v>435</v>
      </c>
      <c r="E14" s="163">
        <v>108500</v>
      </c>
      <c r="F14" s="165">
        <v>5</v>
      </c>
      <c r="G14" s="159" t="s">
        <v>441</v>
      </c>
    </row>
    <row r="15" spans="2:7">
      <c r="B15" s="170">
        <v>14292</v>
      </c>
      <c r="C15" s="158" t="s">
        <v>381</v>
      </c>
      <c r="D15" s="158" t="s">
        <v>436</v>
      </c>
      <c r="E15" s="163">
        <v>108100</v>
      </c>
      <c r="F15" s="165">
        <v>8</v>
      </c>
      <c r="G15" s="159" t="s">
        <v>441</v>
      </c>
    </row>
    <row r="16" spans="2:7">
      <c r="B16" s="170">
        <v>51517</v>
      </c>
      <c r="C16" s="158" t="s">
        <v>411</v>
      </c>
      <c r="D16" s="158" t="s">
        <v>436</v>
      </c>
      <c r="E16" s="163">
        <v>105700</v>
      </c>
      <c r="F16" s="165">
        <v>9</v>
      </c>
      <c r="G16" s="159" t="s">
        <v>437</v>
      </c>
    </row>
    <row r="17" spans="2:7">
      <c r="B17" s="170">
        <v>60791</v>
      </c>
      <c r="C17" s="158" t="s">
        <v>420</v>
      </c>
      <c r="D17" s="158" t="s">
        <v>435</v>
      </c>
      <c r="E17" s="163">
        <v>105300</v>
      </c>
      <c r="F17" s="165">
        <v>4</v>
      </c>
      <c r="G17" s="159" t="s">
        <v>438</v>
      </c>
    </row>
    <row r="18" spans="2:7">
      <c r="B18" s="170">
        <v>93146</v>
      </c>
      <c r="C18" s="158" t="s">
        <v>195</v>
      </c>
      <c r="D18" s="158" t="s">
        <v>435</v>
      </c>
      <c r="E18" s="163">
        <v>105200</v>
      </c>
      <c r="F18" s="165">
        <v>5</v>
      </c>
      <c r="G18" s="159" t="s">
        <v>437</v>
      </c>
    </row>
    <row r="19" spans="2:7">
      <c r="B19" s="170">
        <v>45241</v>
      </c>
      <c r="C19" s="158" t="s">
        <v>412</v>
      </c>
      <c r="D19" s="158" t="s">
        <v>435</v>
      </c>
      <c r="E19" s="163">
        <v>105100</v>
      </c>
      <c r="F19" s="165">
        <v>8</v>
      </c>
      <c r="G19" s="159" t="s">
        <v>438</v>
      </c>
    </row>
    <row r="20" spans="2:7">
      <c r="B20" s="170">
        <v>27993</v>
      </c>
      <c r="C20" s="158" t="s">
        <v>419</v>
      </c>
      <c r="D20" s="158" t="s">
        <v>435</v>
      </c>
      <c r="E20" s="163">
        <v>104500</v>
      </c>
      <c r="F20" s="165">
        <v>4</v>
      </c>
      <c r="G20" s="159" t="s">
        <v>437</v>
      </c>
    </row>
    <row r="21" spans="2:7">
      <c r="B21" s="170">
        <v>13158</v>
      </c>
      <c r="C21" s="158" t="s">
        <v>200</v>
      </c>
      <c r="D21" s="158" t="s">
        <v>436</v>
      </c>
      <c r="E21" s="163">
        <v>104000</v>
      </c>
      <c r="F21" s="165">
        <v>6</v>
      </c>
      <c r="G21" s="159" t="s">
        <v>437</v>
      </c>
    </row>
    <row r="22" spans="2:7">
      <c r="B22" s="170">
        <v>84164</v>
      </c>
      <c r="C22" s="158" t="s">
        <v>391</v>
      </c>
      <c r="D22" s="158" t="s">
        <v>435</v>
      </c>
      <c r="E22" s="163">
        <v>100800</v>
      </c>
      <c r="F22" s="165">
        <v>8</v>
      </c>
      <c r="G22" s="159" t="s">
        <v>438</v>
      </c>
    </row>
    <row r="23" spans="2:7">
      <c r="B23" s="170">
        <v>73409</v>
      </c>
      <c r="C23" s="158" t="s">
        <v>369</v>
      </c>
      <c r="D23" s="158" t="s">
        <v>435</v>
      </c>
      <c r="E23" s="163">
        <v>100400</v>
      </c>
      <c r="F23" s="165">
        <v>1</v>
      </c>
      <c r="G23" s="159" t="s">
        <v>441</v>
      </c>
    </row>
    <row r="24" spans="2:7">
      <c r="B24" s="170">
        <v>60135</v>
      </c>
      <c r="C24" s="158" t="s">
        <v>198</v>
      </c>
      <c r="D24" s="158" t="s">
        <v>435</v>
      </c>
      <c r="E24" s="163">
        <v>100300</v>
      </c>
      <c r="F24" s="165">
        <v>7</v>
      </c>
      <c r="G24" s="159" t="s">
        <v>441</v>
      </c>
    </row>
    <row r="25" spans="2:7">
      <c r="B25" s="170">
        <v>58496</v>
      </c>
      <c r="C25" s="158" t="s">
        <v>422</v>
      </c>
      <c r="D25" s="158" t="s">
        <v>435</v>
      </c>
      <c r="E25" s="163">
        <v>100200</v>
      </c>
      <c r="F25" s="165">
        <v>5</v>
      </c>
      <c r="G25" s="159" t="s">
        <v>438</v>
      </c>
    </row>
    <row r="26" spans="2:7">
      <c r="B26" s="170">
        <v>64763</v>
      </c>
      <c r="C26" s="158" t="s">
        <v>433</v>
      </c>
      <c r="D26" s="158" t="s">
        <v>436</v>
      </c>
      <c r="E26" s="163">
        <v>98400</v>
      </c>
      <c r="F26" s="165">
        <v>6</v>
      </c>
      <c r="G26" s="159" t="s">
        <v>438</v>
      </c>
    </row>
    <row r="27" spans="2:7">
      <c r="B27" s="170">
        <v>97899</v>
      </c>
      <c r="C27" s="158" t="s">
        <v>365</v>
      </c>
      <c r="D27" s="158" t="s">
        <v>436</v>
      </c>
      <c r="E27" s="163">
        <v>96700</v>
      </c>
      <c r="F27" s="165">
        <v>2</v>
      </c>
      <c r="G27" s="159" t="s">
        <v>441</v>
      </c>
    </row>
    <row r="28" spans="2:7">
      <c r="B28" s="170">
        <v>59699</v>
      </c>
      <c r="C28" s="158" t="s">
        <v>190</v>
      </c>
      <c r="D28" s="158" t="s">
        <v>435</v>
      </c>
      <c r="E28" s="163">
        <v>96300</v>
      </c>
      <c r="F28" s="165">
        <v>1</v>
      </c>
      <c r="G28" s="159" t="s">
        <v>439</v>
      </c>
    </row>
    <row r="29" spans="2:7">
      <c r="B29" s="170">
        <v>78847</v>
      </c>
      <c r="C29" s="158" t="s">
        <v>421</v>
      </c>
      <c r="D29" s="158" t="s">
        <v>435</v>
      </c>
      <c r="E29" s="163">
        <v>94500</v>
      </c>
      <c r="F29" s="165">
        <v>9</v>
      </c>
      <c r="G29" s="159" t="s">
        <v>441</v>
      </c>
    </row>
    <row r="30" spans="2:7">
      <c r="B30" s="170">
        <v>37475</v>
      </c>
      <c r="C30" s="158" t="s">
        <v>375</v>
      </c>
      <c r="D30" s="158" t="s">
        <v>435</v>
      </c>
      <c r="E30" s="163">
        <v>94400</v>
      </c>
      <c r="F30" s="165">
        <v>9</v>
      </c>
      <c r="G30" s="159" t="s">
        <v>439</v>
      </c>
    </row>
    <row r="31" spans="2:7">
      <c r="B31" s="170">
        <v>35094</v>
      </c>
      <c r="C31" s="158" t="s">
        <v>406</v>
      </c>
      <c r="D31" s="158" t="s">
        <v>435</v>
      </c>
      <c r="E31" s="163">
        <v>94300</v>
      </c>
      <c r="F31" s="165">
        <v>4</v>
      </c>
      <c r="G31" s="159" t="s">
        <v>439</v>
      </c>
    </row>
    <row r="32" spans="2:7">
      <c r="B32" s="170">
        <v>13291</v>
      </c>
      <c r="C32" s="158" t="s">
        <v>201</v>
      </c>
      <c r="D32" s="158" t="s">
        <v>435</v>
      </c>
      <c r="E32" s="163">
        <v>92700</v>
      </c>
      <c r="F32" s="165">
        <v>9</v>
      </c>
      <c r="G32" s="159" t="s">
        <v>437</v>
      </c>
    </row>
    <row r="33" spans="2:7">
      <c r="B33" s="170">
        <v>70676</v>
      </c>
      <c r="C33" s="158" t="s">
        <v>370</v>
      </c>
      <c r="D33" s="158" t="s">
        <v>436</v>
      </c>
      <c r="E33" s="163">
        <v>90500</v>
      </c>
      <c r="F33" s="165">
        <v>10</v>
      </c>
      <c r="G33" s="159" t="s">
        <v>439</v>
      </c>
    </row>
    <row r="34" spans="2:7">
      <c r="B34" s="170">
        <v>16296</v>
      </c>
      <c r="C34" s="158" t="s">
        <v>380</v>
      </c>
      <c r="D34" s="158" t="s">
        <v>435</v>
      </c>
      <c r="E34" s="163">
        <v>89200</v>
      </c>
      <c r="F34" s="165">
        <v>5</v>
      </c>
      <c r="G34" s="159" t="s">
        <v>438</v>
      </c>
    </row>
    <row r="35" spans="2:7">
      <c r="B35" s="170">
        <v>42320</v>
      </c>
      <c r="C35" s="158" t="s">
        <v>403</v>
      </c>
      <c r="D35" s="158" t="s">
        <v>435</v>
      </c>
      <c r="E35" s="163">
        <v>87700</v>
      </c>
      <c r="F35" s="165">
        <v>6</v>
      </c>
      <c r="G35" s="159" t="s">
        <v>441</v>
      </c>
    </row>
    <row r="36" spans="2:7">
      <c r="B36" s="170">
        <v>53719</v>
      </c>
      <c r="C36" s="158" t="s">
        <v>383</v>
      </c>
      <c r="D36" s="158" t="s">
        <v>436</v>
      </c>
      <c r="E36" s="163">
        <v>87100</v>
      </c>
      <c r="F36" s="165">
        <v>5</v>
      </c>
      <c r="G36" s="159" t="s">
        <v>439</v>
      </c>
    </row>
    <row r="37" spans="2:7">
      <c r="B37" s="170">
        <v>20066</v>
      </c>
      <c r="C37" s="158" t="s">
        <v>366</v>
      </c>
      <c r="D37" s="158" t="s">
        <v>435</v>
      </c>
      <c r="E37" s="163">
        <v>86400</v>
      </c>
      <c r="F37" s="165">
        <v>2</v>
      </c>
      <c r="G37" s="159" t="s">
        <v>438</v>
      </c>
    </row>
    <row r="38" spans="2:7">
      <c r="B38" s="170">
        <v>55386</v>
      </c>
      <c r="C38" s="158" t="s">
        <v>393</v>
      </c>
      <c r="D38" s="158" t="s">
        <v>436</v>
      </c>
      <c r="E38" s="163">
        <v>85800</v>
      </c>
      <c r="F38" s="165">
        <v>2</v>
      </c>
      <c r="G38" s="159" t="s">
        <v>438</v>
      </c>
    </row>
    <row r="39" spans="2:7">
      <c r="B39" s="170">
        <v>26291</v>
      </c>
      <c r="C39" s="158" t="s">
        <v>408</v>
      </c>
      <c r="D39" s="158" t="s">
        <v>435</v>
      </c>
      <c r="E39" s="163">
        <v>83700</v>
      </c>
      <c r="F39" s="165">
        <v>1</v>
      </c>
      <c r="G39" s="159" t="s">
        <v>437</v>
      </c>
    </row>
    <row r="40" spans="2:7">
      <c r="B40" s="170">
        <v>61380</v>
      </c>
      <c r="C40" s="158" t="s">
        <v>385</v>
      </c>
      <c r="D40" s="158" t="s">
        <v>436</v>
      </c>
      <c r="E40" s="163">
        <v>83600</v>
      </c>
      <c r="F40" s="165">
        <v>5</v>
      </c>
      <c r="G40" s="159" t="s">
        <v>441</v>
      </c>
    </row>
    <row r="41" spans="2:7">
      <c r="B41" s="170">
        <v>39711</v>
      </c>
      <c r="C41" s="158" t="s">
        <v>205</v>
      </c>
      <c r="D41" s="158" t="s">
        <v>435</v>
      </c>
      <c r="E41" s="163">
        <v>83500</v>
      </c>
      <c r="F41" s="165">
        <v>8</v>
      </c>
      <c r="G41" s="159" t="s">
        <v>437</v>
      </c>
    </row>
    <row r="42" spans="2:7">
      <c r="B42" s="170">
        <v>96877</v>
      </c>
      <c r="C42" s="158" t="s">
        <v>399</v>
      </c>
      <c r="D42" s="158" t="s">
        <v>435</v>
      </c>
      <c r="E42" s="163">
        <v>83200</v>
      </c>
      <c r="F42" s="165">
        <v>8</v>
      </c>
      <c r="G42" s="159" t="s">
        <v>441</v>
      </c>
    </row>
    <row r="43" spans="2:7">
      <c r="B43" s="170">
        <v>35746</v>
      </c>
      <c r="C43" s="158" t="s">
        <v>378</v>
      </c>
      <c r="D43" s="158" t="s">
        <v>436</v>
      </c>
      <c r="E43" s="163">
        <v>82000</v>
      </c>
      <c r="F43" s="165">
        <v>3</v>
      </c>
      <c r="G43" s="159" t="s">
        <v>437</v>
      </c>
    </row>
    <row r="44" spans="2:7">
      <c r="B44" s="170">
        <v>50626</v>
      </c>
      <c r="C44" s="158" t="s">
        <v>394</v>
      </c>
      <c r="D44" s="158" t="s">
        <v>435</v>
      </c>
      <c r="E44" s="163">
        <v>79600</v>
      </c>
      <c r="F44" s="165">
        <v>5</v>
      </c>
      <c r="G44" s="159" t="s">
        <v>437</v>
      </c>
    </row>
    <row r="45" spans="2:7">
      <c r="B45" s="170">
        <v>89681</v>
      </c>
      <c r="C45" s="158" t="s">
        <v>428</v>
      </c>
      <c r="D45" s="158" t="s">
        <v>435</v>
      </c>
      <c r="E45" s="163">
        <v>78700</v>
      </c>
      <c r="F45" s="165">
        <v>4</v>
      </c>
      <c r="G45" s="159" t="s">
        <v>441</v>
      </c>
    </row>
    <row r="46" spans="2:7">
      <c r="B46" s="170">
        <v>51695</v>
      </c>
      <c r="C46" s="158" t="s">
        <v>387</v>
      </c>
      <c r="D46" s="158" t="s">
        <v>435</v>
      </c>
      <c r="E46" s="163">
        <v>78300</v>
      </c>
      <c r="F46" s="165">
        <v>1</v>
      </c>
      <c r="G46" s="159" t="s">
        <v>439</v>
      </c>
    </row>
    <row r="47" spans="2:7">
      <c r="B47" s="170">
        <v>98506</v>
      </c>
      <c r="C47" s="158" t="s">
        <v>425</v>
      </c>
      <c r="D47" s="158" t="s">
        <v>435</v>
      </c>
      <c r="E47" s="163">
        <v>77600</v>
      </c>
      <c r="F47" s="165">
        <v>2</v>
      </c>
      <c r="G47" s="159" t="s">
        <v>441</v>
      </c>
    </row>
    <row r="48" spans="2:7">
      <c r="B48" s="170">
        <v>62180</v>
      </c>
      <c r="C48" s="158" t="s">
        <v>432</v>
      </c>
      <c r="D48" s="158" t="s">
        <v>436</v>
      </c>
      <c r="E48" s="163">
        <v>76900</v>
      </c>
      <c r="F48" s="165">
        <v>2</v>
      </c>
      <c r="G48" s="159" t="s">
        <v>439</v>
      </c>
    </row>
    <row r="49" spans="2:7">
      <c r="B49" s="170">
        <v>67249</v>
      </c>
      <c r="C49" s="158" t="s">
        <v>379</v>
      </c>
      <c r="D49" s="158" t="s">
        <v>436</v>
      </c>
      <c r="E49" s="163">
        <v>71300</v>
      </c>
      <c r="F49" s="165">
        <v>6</v>
      </c>
      <c r="G49" s="159" t="s">
        <v>439</v>
      </c>
    </row>
    <row r="50" spans="2:7">
      <c r="B50" s="170">
        <v>21417</v>
      </c>
      <c r="C50" s="158" t="s">
        <v>373</v>
      </c>
      <c r="D50" s="158" t="s">
        <v>436</v>
      </c>
      <c r="E50" s="163">
        <v>70300</v>
      </c>
      <c r="F50" s="165">
        <v>3</v>
      </c>
      <c r="G50" s="159" t="s">
        <v>439</v>
      </c>
    </row>
    <row r="51" spans="2:7">
      <c r="B51" s="170">
        <v>87385</v>
      </c>
      <c r="C51" s="158" t="s">
        <v>415</v>
      </c>
      <c r="D51" s="158" t="s">
        <v>436</v>
      </c>
      <c r="E51" s="163">
        <v>70200</v>
      </c>
      <c r="F51" s="165">
        <v>6</v>
      </c>
      <c r="G51" s="159" t="s">
        <v>437</v>
      </c>
    </row>
    <row r="52" spans="2:7">
      <c r="B52" s="170">
        <v>72775</v>
      </c>
      <c r="C52" s="158" t="s">
        <v>395</v>
      </c>
      <c r="D52" s="158" t="s">
        <v>435</v>
      </c>
      <c r="E52" s="163">
        <v>70000</v>
      </c>
      <c r="F52" s="165">
        <v>8</v>
      </c>
      <c r="G52" s="159" t="s">
        <v>439</v>
      </c>
    </row>
    <row r="53" spans="2:7">
      <c r="B53" s="170">
        <v>45037</v>
      </c>
      <c r="C53" s="158" t="s">
        <v>402</v>
      </c>
      <c r="D53" s="158" t="s">
        <v>436</v>
      </c>
      <c r="E53" s="163">
        <v>69700</v>
      </c>
      <c r="F53" s="165">
        <v>10</v>
      </c>
      <c r="G53" s="159" t="s">
        <v>438</v>
      </c>
    </row>
    <row r="54" spans="2:7">
      <c r="B54" s="170">
        <v>38565</v>
      </c>
      <c r="C54" s="158" t="s">
        <v>416</v>
      </c>
      <c r="D54" s="158" t="s">
        <v>435</v>
      </c>
      <c r="E54" s="163">
        <v>69400</v>
      </c>
      <c r="F54" s="165">
        <v>5</v>
      </c>
      <c r="G54" s="159" t="s">
        <v>441</v>
      </c>
    </row>
    <row r="55" spans="2:7">
      <c r="B55" s="170">
        <v>79138</v>
      </c>
      <c r="C55" s="158" t="s">
        <v>413</v>
      </c>
      <c r="D55" s="158" t="s">
        <v>436</v>
      </c>
      <c r="E55" s="163">
        <v>69400</v>
      </c>
      <c r="F55" s="165">
        <v>9</v>
      </c>
      <c r="G55" s="159" t="s">
        <v>438</v>
      </c>
    </row>
    <row r="56" spans="2:7">
      <c r="B56" s="170">
        <v>24561</v>
      </c>
      <c r="C56" s="158" t="s">
        <v>386</v>
      </c>
      <c r="D56" s="158" t="s">
        <v>435</v>
      </c>
      <c r="E56" s="163">
        <v>68900</v>
      </c>
      <c r="F56" s="165">
        <v>2</v>
      </c>
      <c r="G56" s="159" t="s">
        <v>439</v>
      </c>
    </row>
    <row r="57" spans="2:7">
      <c r="B57" s="170">
        <v>77761</v>
      </c>
      <c r="C57" s="158" t="s">
        <v>196</v>
      </c>
      <c r="D57" s="158" t="s">
        <v>436</v>
      </c>
      <c r="E57" s="163">
        <v>68800</v>
      </c>
      <c r="F57" s="165">
        <v>7</v>
      </c>
      <c r="G57" s="159" t="s">
        <v>438</v>
      </c>
    </row>
    <row r="58" spans="2:7">
      <c r="B58" s="170">
        <v>74228</v>
      </c>
      <c r="C58" s="158" t="s">
        <v>423</v>
      </c>
      <c r="D58" s="158" t="s">
        <v>435</v>
      </c>
      <c r="E58" s="163">
        <v>67500</v>
      </c>
      <c r="F58" s="165">
        <v>9</v>
      </c>
      <c r="G58" s="159" t="s">
        <v>439</v>
      </c>
    </row>
    <row r="59" spans="2:7">
      <c r="B59" s="170">
        <v>80624</v>
      </c>
      <c r="C59" s="158" t="s">
        <v>371</v>
      </c>
      <c r="D59" s="158" t="s">
        <v>436</v>
      </c>
      <c r="E59" s="163">
        <v>67300</v>
      </c>
      <c r="F59" s="165">
        <v>3</v>
      </c>
      <c r="G59" s="159" t="s">
        <v>438</v>
      </c>
    </row>
    <row r="60" spans="2:7">
      <c r="B60" s="170">
        <v>80070</v>
      </c>
      <c r="C60" s="158" t="s">
        <v>427</v>
      </c>
      <c r="D60" s="158" t="s">
        <v>435</v>
      </c>
      <c r="E60" s="163">
        <v>66500</v>
      </c>
      <c r="F60" s="165">
        <v>5</v>
      </c>
      <c r="G60" s="159" t="s">
        <v>439</v>
      </c>
    </row>
    <row r="61" spans="2:7">
      <c r="B61" s="170">
        <v>35645</v>
      </c>
      <c r="C61" s="158" t="s">
        <v>405</v>
      </c>
      <c r="D61" s="158" t="s">
        <v>436</v>
      </c>
      <c r="E61" s="163">
        <v>66400</v>
      </c>
      <c r="F61" s="165">
        <v>6</v>
      </c>
      <c r="G61" s="159" t="s">
        <v>437</v>
      </c>
    </row>
    <row r="62" spans="2:7">
      <c r="B62" s="170">
        <v>86009</v>
      </c>
      <c r="C62" s="158" t="s">
        <v>206</v>
      </c>
      <c r="D62" s="158" t="s">
        <v>436</v>
      </c>
      <c r="E62" s="163">
        <v>66100</v>
      </c>
      <c r="F62" s="165">
        <v>3</v>
      </c>
      <c r="G62" s="159" t="s">
        <v>437</v>
      </c>
    </row>
    <row r="63" spans="2:7">
      <c r="B63" s="170">
        <v>10848</v>
      </c>
      <c r="C63" s="158" t="s">
        <v>410</v>
      </c>
      <c r="D63" s="158" t="s">
        <v>435</v>
      </c>
      <c r="E63" s="163">
        <v>66100</v>
      </c>
      <c r="F63" s="165">
        <v>6</v>
      </c>
      <c r="G63" s="159" t="s">
        <v>438</v>
      </c>
    </row>
    <row r="64" spans="2:7">
      <c r="B64" s="170">
        <v>73946</v>
      </c>
      <c r="C64" s="158" t="s">
        <v>377</v>
      </c>
      <c r="D64" s="158" t="s">
        <v>435</v>
      </c>
      <c r="E64" s="163">
        <v>65900</v>
      </c>
      <c r="F64" s="165">
        <v>3</v>
      </c>
      <c r="G64" s="159" t="s">
        <v>438</v>
      </c>
    </row>
    <row r="65" spans="2:7">
      <c r="B65" s="170">
        <v>52819</v>
      </c>
      <c r="C65" s="158" t="s">
        <v>430</v>
      </c>
      <c r="D65" s="158" t="s">
        <v>436</v>
      </c>
      <c r="E65" s="163">
        <v>64500</v>
      </c>
      <c r="F65" s="165">
        <v>7</v>
      </c>
      <c r="G65" s="159" t="s">
        <v>441</v>
      </c>
    </row>
    <row r="66" spans="2:7">
      <c r="B66" s="170">
        <v>83305</v>
      </c>
      <c r="C66" s="158" t="s">
        <v>400</v>
      </c>
      <c r="D66" s="158" t="s">
        <v>436</v>
      </c>
      <c r="E66" s="163">
        <v>63800</v>
      </c>
      <c r="F66" s="165">
        <v>2</v>
      </c>
      <c r="G66" s="159" t="s">
        <v>437</v>
      </c>
    </row>
    <row r="67" spans="2:7">
      <c r="B67" s="170">
        <v>15806</v>
      </c>
      <c r="C67" s="158" t="s">
        <v>211</v>
      </c>
      <c r="D67" s="158" t="s">
        <v>435</v>
      </c>
      <c r="E67" s="163">
        <v>63500</v>
      </c>
      <c r="F67" s="165">
        <v>2</v>
      </c>
      <c r="G67" s="159" t="s">
        <v>438</v>
      </c>
    </row>
    <row r="68" spans="2:7">
      <c r="B68" s="170">
        <v>74527</v>
      </c>
      <c r="C68" s="158" t="s">
        <v>382</v>
      </c>
      <c r="D68" s="158" t="s">
        <v>435</v>
      </c>
      <c r="E68" s="163">
        <v>63400</v>
      </c>
      <c r="F68" s="165">
        <v>9</v>
      </c>
      <c r="G68" s="159" t="s">
        <v>441</v>
      </c>
    </row>
    <row r="69" spans="2:7">
      <c r="B69" s="170">
        <v>65472</v>
      </c>
      <c r="C69" s="158" t="s">
        <v>431</v>
      </c>
      <c r="D69" s="158" t="s">
        <v>436</v>
      </c>
      <c r="E69" s="163">
        <v>60800</v>
      </c>
      <c r="F69" s="165">
        <v>3</v>
      </c>
      <c r="G69" s="159" t="s">
        <v>441</v>
      </c>
    </row>
    <row r="70" spans="2:7">
      <c r="B70" s="170">
        <v>94560</v>
      </c>
      <c r="C70" s="158" t="s">
        <v>197</v>
      </c>
      <c r="D70" s="158" t="s">
        <v>435</v>
      </c>
      <c r="E70" s="163">
        <v>59500</v>
      </c>
      <c r="F70" s="165">
        <v>5</v>
      </c>
      <c r="G70" s="159" t="s">
        <v>439</v>
      </c>
    </row>
    <row r="71" spans="2:7">
      <c r="B71" s="170">
        <v>15421</v>
      </c>
      <c r="C71" s="158" t="s">
        <v>389</v>
      </c>
      <c r="D71" s="158" t="s">
        <v>435</v>
      </c>
      <c r="E71" s="163">
        <v>57200</v>
      </c>
      <c r="F71" s="165">
        <v>4</v>
      </c>
      <c r="G71" s="159" t="s">
        <v>439</v>
      </c>
    </row>
    <row r="72" spans="2:7">
      <c r="B72" s="170">
        <v>70436</v>
      </c>
      <c r="C72" s="158" t="s">
        <v>192</v>
      </c>
      <c r="D72" s="158" t="s">
        <v>435</v>
      </c>
      <c r="E72" s="163">
        <v>56600</v>
      </c>
      <c r="F72" s="165">
        <v>7</v>
      </c>
      <c r="G72" s="159" t="s">
        <v>439</v>
      </c>
    </row>
    <row r="73" spans="2:7">
      <c r="B73" s="170">
        <v>58479</v>
      </c>
      <c r="C73" s="158" t="s">
        <v>407</v>
      </c>
      <c r="D73" s="158" t="s">
        <v>436</v>
      </c>
      <c r="E73" s="163">
        <v>53000</v>
      </c>
      <c r="F73" s="165">
        <v>6</v>
      </c>
      <c r="G73" s="159" t="s">
        <v>438</v>
      </c>
    </row>
    <row r="74" spans="2:7">
      <c r="B74" s="170">
        <v>48284</v>
      </c>
      <c r="C74" s="158" t="s">
        <v>203</v>
      </c>
      <c r="D74" s="158" t="s">
        <v>435</v>
      </c>
      <c r="E74" s="163">
        <v>52700</v>
      </c>
      <c r="F74" s="165">
        <v>6</v>
      </c>
      <c r="G74" s="159" t="s">
        <v>440</v>
      </c>
    </row>
    <row r="75" spans="2:7">
      <c r="B75" s="170">
        <v>19215</v>
      </c>
      <c r="C75" s="158" t="s">
        <v>404</v>
      </c>
      <c r="D75" s="158" t="s">
        <v>435</v>
      </c>
      <c r="E75" s="163">
        <v>51200</v>
      </c>
      <c r="F75" s="165">
        <v>4</v>
      </c>
      <c r="G75" s="159" t="s">
        <v>440</v>
      </c>
    </row>
    <row r="76" spans="2:7">
      <c r="B76" s="170">
        <v>61892</v>
      </c>
      <c r="C76" s="158" t="s">
        <v>426</v>
      </c>
      <c r="D76" s="158" t="s">
        <v>435</v>
      </c>
      <c r="E76" s="163">
        <v>50700</v>
      </c>
      <c r="F76" s="165">
        <v>7</v>
      </c>
      <c r="G76" s="159" t="s">
        <v>440</v>
      </c>
    </row>
    <row r="77" spans="2:7">
      <c r="B77" s="170">
        <v>63858</v>
      </c>
      <c r="C77" s="158" t="s">
        <v>202</v>
      </c>
      <c r="D77" s="158" t="s">
        <v>436</v>
      </c>
      <c r="E77" s="163">
        <v>50600</v>
      </c>
      <c r="F77" s="165">
        <v>4</v>
      </c>
      <c r="G77" s="159" t="s">
        <v>439</v>
      </c>
    </row>
    <row r="78" spans="2:7">
      <c r="B78" s="170">
        <v>77426</v>
      </c>
      <c r="C78" s="158" t="s">
        <v>194</v>
      </c>
      <c r="D78" s="158" t="s">
        <v>435</v>
      </c>
      <c r="E78" s="163">
        <v>49700</v>
      </c>
      <c r="F78" s="165">
        <v>4</v>
      </c>
      <c r="G78" s="159" t="s">
        <v>440</v>
      </c>
    </row>
    <row r="79" spans="2:7">
      <c r="B79" s="170">
        <v>70470</v>
      </c>
      <c r="C79" s="158" t="s">
        <v>191</v>
      </c>
      <c r="D79" s="158" t="s">
        <v>436</v>
      </c>
      <c r="E79" s="163">
        <v>49600</v>
      </c>
      <c r="F79" s="165">
        <v>1</v>
      </c>
      <c r="G79" s="159" t="s">
        <v>440</v>
      </c>
    </row>
    <row r="80" spans="2:7">
      <c r="B80" s="170">
        <v>14780</v>
      </c>
      <c r="C80" s="158" t="s">
        <v>364</v>
      </c>
      <c r="D80" s="158" t="s">
        <v>435</v>
      </c>
      <c r="E80" s="163">
        <v>49200</v>
      </c>
      <c r="F80" s="165">
        <v>2</v>
      </c>
      <c r="G80" s="159" t="s">
        <v>437</v>
      </c>
    </row>
    <row r="81" spans="2:7">
      <c r="B81" s="170">
        <v>67068</v>
      </c>
      <c r="C81" s="158" t="s">
        <v>212</v>
      </c>
      <c r="D81" s="158" t="s">
        <v>435</v>
      </c>
      <c r="E81" s="163">
        <v>48400</v>
      </c>
      <c r="F81" s="165">
        <v>2</v>
      </c>
      <c r="G81" s="159" t="s">
        <v>441</v>
      </c>
    </row>
    <row r="82" spans="2:7">
      <c r="B82" s="170">
        <v>15733</v>
      </c>
      <c r="C82" s="158" t="s">
        <v>372</v>
      </c>
      <c r="D82" s="158" t="s">
        <v>435</v>
      </c>
      <c r="E82" s="163">
        <v>46400</v>
      </c>
      <c r="F82" s="165">
        <v>9</v>
      </c>
      <c r="G82" s="159" t="s">
        <v>440</v>
      </c>
    </row>
    <row r="83" spans="2:7">
      <c r="B83" s="170">
        <v>70412</v>
      </c>
      <c r="C83" s="158" t="s">
        <v>417</v>
      </c>
      <c r="D83" s="158" t="s">
        <v>436</v>
      </c>
      <c r="E83" s="163">
        <v>46200</v>
      </c>
      <c r="F83" s="165">
        <v>9</v>
      </c>
      <c r="G83" s="159" t="s">
        <v>440</v>
      </c>
    </row>
    <row r="84" spans="2:7">
      <c r="B84" s="170">
        <v>48239</v>
      </c>
      <c r="C84" s="158" t="s">
        <v>424</v>
      </c>
      <c r="D84" s="158" t="s">
        <v>435</v>
      </c>
      <c r="E84" s="163">
        <v>43500</v>
      </c>
      <c r="F84" s="165">
        <v>7</v>
      </c>
      <c r="G84" s="159" t="s">
        <v>438</v>
      </c>
    </row>
    <row r="85" spans="2:7">
      <c r="B85" s="170">
        <v>56238</v>
      </c>
      <c r="C85" s="158" t="s">
        <v>398</v>
      </c>
      <c r="D85" s="158" t="s">
        <v>436</v>
      </c>
      <c r="E85" s="163">
        <v>41100</v>
      </c>
      <c r="F85" s="165">
        <v>4</v>
      </c>
      <c r="G85" s="159" t="s">
        <v>440</v>
      </c>
    </row>
    <row r="86" spans="2:7">
      <c r="B86" s="170">
        <v>90628</v>
      </c>
      <c r="C86" s="158" t="s">
        <v>388</v>
      </c>
      <c r="D86" s="158" t="s">
        <v>436</v>
      </c>
      <c r="E86" s="163">
        <v>39800</v>
      </c>
      <c r="F86" s="165">
        <v>8</v>
      </c>
      <c r="G86" s="159" t="s">
        <v>440</v>
      </c>
    </row>
    <row r="87" spans="2:7">
      <c r="B87" s="170">
        <v>96843</v>
      </c>
      <c r="C87" s="158" t="s">
        <v>384</v>
      </c>
      <c r="D87" s="158" t="s">
        <v>435</v>
      </c>
      <c r="E87" s="163">
        <v>39400</v>
      </c>
      <c r="F87" s="165">
        <v>5</v>
      </c>
      <c r="G87" s="159" t="s">
        <v>440</v>
      </c>
    </row>
    <row r="88" spans="2:7">
      <c r="B88" s="170">
        <v>80051</v>
      </c>
      <c r="C88" s="158" t="s">
        <v>397</v>
      </c>
      <c r="D88" s="158" t="s">
        <v>435</v>
      </c>
      <c r="E88" s="163">
        <v>39300</v>
      </c>
      <c r="F88" s="165">
        <v>5</v>
      </c>
      <c r="G88" s="159" t="s">
        <v>440</v>
      </c>
    </row>
    <row r="89" spans="2:7">
      <c r="B89" s="170">
        <v>12308</v>
      </c>
      <c r="C89" s="158" t="s">
        <v>434</v>
      </c>
      <c r="D89" s="158" t="s">
        <v>436</v>
      </c>
      <c r="E89" s="163">
        <v>37300</v>
      </c>
      <c r="F89" s="165">
        <v>8</v>
      </c>
      <c r="G89" s="159" t="s">
        <v>440</v>
      </c>
    </row>
    <row r="90" spans="2:7">
      <c r="B90" s="170">
        <v>70357</v>
      </c>
      <c r="C90" s="158" t="s">
        <v>392</v>
      </c>
      <c r="D90" s="158" t="s">
        <v>435</v>
      </c>
      <c r="E90" s="163">
        <v>32100</v>
      </c>
      <c r="F90" s="165">
        <v>8</v>
      </c>
      <c r="G90" s="159" t="s">
        <v>440</v>
      </c>
    </row>
    <row r="91" spans="2:7">
      <c r="B91" s="170">
        <v>85811</v>
      </c>
      <c r="C91" s="158" t="s">
        <v>199</v>
      </c>
      <c r="D91" s="158" t="s">
        <v>436</v>
      </c>
      <c r="E91" s="163">
        <v>27100</v>
      </c>
      <c r="F91" s="165">
        <v>2</v>
      </c>
      <c r="G91" s="159" t="s">
        <v>440</v>
      </c>
    </row>
    <row r="92" spans="2:7">
      <c r="B92" s="170">
        <v>17225</v>
      </c>
      <c r="C92" s="158" t="s">
        <v>409</v>
      </c>
      <c r="D92" s="158" t="s">
        <v>435</v>
      </c>
      <c r="E92" s="163">
        <v>26500</v>
      </c>
      <c r="F92" s="165">
        <v>6</v>
      </c>
      <c r="G92" s="159" t="s">
        <v>440</v>
      </c>
    </row>
  </sheetData>
  <autoFilter ref="B2:G92" xr:uid="{00000000-0009-0000-0000-00000F000000}"/>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tabColor rgb="FFFFFFB7"/>
  </sheetPr>
  <dimension ref="A1:BC115"/>
  <sheetViews>
    <sheetView showGridLines="0" zoomScale="85" zoomScaleNormal="85" workbookViewId="0">
      <pane xSplit="3" ySplit="10" topLeftCell="D11" activePane="bottomRight" state="frozen"/>
      <selection activeCell="C16" sqref="C16"/>
      <selection pane="topRight" activeCell="C16" sqref="C16"/>
      <selection pane="bottomLeft" activeCell="C16" sqref="C16"/>
      <selection pane="bottomRight" activeCell="C19" sqref="C19"/>
    </sheetView>
  </sheetViews>
  <sheetFormatPr defaultColWidth="0" defaultRowHeight="13.5"/>
  <cols>
    <col min="1" max="1" width="1.5" customWidth="1"/>
    <col min="2" max="2" width="8.625" customWidth="1"/>
    <col min="3" max="3" width="33.625" customWidth="1"/>
    <col min="4" max="4" width="6.625" customWidth="1"/>
    <col min="5" max="6" width="14.625" customWidth="1"/>
    <col min="7" max="7" width="25.875" customWidth="1"/>
    <col min="8" max="51" width="8.625" customWidth="1"/>
    <col min="52" max="55" width="0" hidden="1" customWidth="1"/>
    <col min="56" max="16384" width="9" hidden="1"/>
  </cols>
  <sheetData>
    <row r="1" spans="2:10" ht="3" customHeight="1"/>
    <row r="2" spans="2:10" ht="23.25">
      <c r="B2" s="79" t="s">
        <v>458</v>
      </c>
    </row>
    <row r="3" spans="2:10" ht="23.25">
      <c r="B3" s="80" t="s">
        <v>473</v>
      </c>
    </row>
    <row r="4" spans="2:10" ht="3" customHeight="1"/>
    <row r="5" spans="2:10" ht="0.95" customHeight="1">
      <c r="B5" s="81"/>
      <c r="C5" s="81"/>
      <c r="D5" s="81"/>
      <c r="E5" s="81"/>
      <c r="F5" s="81"/>
      <c r="G5" s="81"/>
    </row>
    <row r="6" spans="2:10" ht="3" customHeight="1"/>
    <row r="7" spans="2:10" s="1" customFormat="1" hidden="1">
      <c r="B7" s="83" t="s">
        <v>236</v>
      </c>
    </row>
    <row r="8" spans="2:10" ht="3" customHeight="1"/>
    <row r="9" spans="2:10" ht="0.95" customHeight="1">
      <c r="B9" s="81"/>
      <c r="C9" s="81"/>
      <c r="D9" s="81"/>
      <c r="E9" s="81"/>
      <c r="F9" s="81"/>
      <c r="G9" s="81"/>
    </row>
    <row r="10" spans="2:10" ht="3" customHeight="1"/>
    <row r="14" spans="2:10" ht="13.9">
      <c r="B14" s="157"/>
      <c r="J14" s="174"/>
    </row>
    <row r="15" spans="2:10">
      <c r="B15" s="56"/>
      <c r="C15" s="56"/>
      <c r="D15" s="56"/>
      <c r="E15" s="56"/>
      <c r="F15" s="56"/>
      <c r="G15" s="56"/>
    </row>
    <row r="16" spans="2:10">
      <c r="B16" s="56"/>
      <c r="E16" s="173"/>
      <c r="F16" s="172"/>
      <c r="I16" s="171"/>
    </row>
    <row r="17" spans="2:9">
      <c r="B17" s="56"/>
      <c r="E17" s="173"/>
      <c r="F17" s="172"/>
      <c r="I17" s="171"/>
    </row>
    <row r="18" spans="2:9">
      <c r="B18" s="56"/>
      <c r="E18" s="173"/>
      <c r="F18" s="172"/>
      <c r="I18" s="171"/>
    </row>
    <row r="19" spans="2:9">
      <c r="B19" s="56"/>
      <c r="E19" s="173"/>
      <c r="F19" s="172"/>
      <c r="I19" s="171"/>
    </row>
    <row r="20" spans="2:9">
      <c r="B20" s="56"/>
      <c r="E20" s="173"/>
      <c r="F20" s="172"/>
      <c r="I20" s="171"/>
    </row>
    <row r="21" spans="2:9">
      <c r="B21" s="56"/>
      <c r="E21" s="173"/>
      <c r="F21" s="172"/>
      <c r="I21" s="171"/>
    </row>
    <row r="22" spans="2:9">
      <c r="B22" s="56"/>
      <c r="E22" s="173"/>
      <c r="F22" s="172"/>
      <c r="I22" s="171"/>
    </row>
    <row r="23" spans="2:9">
      <c r="B23" s="56"/>
      <c r="E23" s="173"/>
      <c r="F23" s="172"/>
      <c r="I23" s="171"/>
    </row>
    <row r="24" spans="2:9">
      <c r="B24" s="56"/>
      <c r="E24" s="173"/>
      <c r="F24" s="172"/>
      <c r="I24" s="171"/>
    </row>
    <row r="25" spans="2:9">
      <c r="B25" s="56"/>
      <c r="E25" s="173"/>
      <c r="F25" s="172"/>
      <c r="I25" s="171"/>
    </row>
    <row r="26" spans="2:9">
      <c r="B26" s="56"/>
      <c r="E26" s="173"/>
      <c r="F26" s="172"/>
      <c r="I26" s="171"/>
    </row>
    <row r="27" spans="2:9">
      <c r="B27" s="56"/>
      <c r="E27" s="173"/>
      <c r="F27" s="172"/>
      <c r="I27" s="171"/>
    </row>
    <row r="28" spans="2:9">
      <c r="B28" s="56"/>
      <c r="E28" s="173"/>
      <c r="F28" s="172"/>
      <c r="I28" s="171"/>
    </row>
    <row r="29" spans="2:9">
      <c r="B29" s="56"/>
      <c r="E29" s="173"/>
      <c r="F29" s="172"/>
      <c r="I29" s="171"/>
    </row>
    <row r="30" spans="2:9">
      <c r="B30" s="56"/>
      <c r="E30" s="173"/>
      <c r="F30" s="172"/>
      <c r="I30" s="171"/>
    </row>
    <row r="31" spans="2:9">
      <c r="B31" s="56"/>
      <c r="E31" s="173"/>
      <c r="F31" s="172"/>
      <c r="I31" s="171"/>
    </row>
    <row r="32" spans="2:9">
      <c r="B32" s="56"/>
      <c r="E32" s="173"/>
      <c r="F32" s="172"/>
      <c r="I32" s="171"/>
    </row>
    <row r="33" spans="2:9">
      <c r="B33" s="56"/>
      <c r="E33" s="173"/>
      <c r="F33" s="172"/>
      <c r="I33" s="171"/>
    </row>
    <row r="34" spans="2:9">
      <c r="B34" s="56"/>
      <c r="E34" s="173"/>
      <c r="F34" s="172"/>
      <c r="I34" s="171"/>
    </row>
    <row r="35" spans="2:9">
      <c r="B35" s="56"/>
      <c r="E35" s="173"/>
      <c r="F35" s="172"/>
      <c r="I35" s="171"/>
    </row>
    <row r="36" spans="2:9">
      <c r="B36" s="56"/>
      <c r="E36" s="173"/>
      <c r="F36" s="172"/>
      <c r="I36" s="171"/>
    </row>
    <row r="37" spans="2:9">
      <c r="B37" s="56"/>
      <c r="E37" s="173"/>
      <c r="F37" s="172"/>
      <c r="I37" s="171"/>
    </row>
    <row r="38" spans="2:9">
      <c r="B38" s="56"/>
      <c r="E38" s="173"/>
      <c r="F38" s="172"/>
      <c r="I38" s="171"/>
    </row>
    <row r="39" spans="2:9">
      <c r="B39" s="56"/>
      <c r="E39" s="173"/>
      <c r="F39" s="172"/>
      <c r="I39" s="171"/>
    </row>
    <row r="40" spans="2:9">
      <c r="B40" s="56"/>
      <c r="E40" s="173"/>
      <c r="F40" s="172"/>
      <c r="I40" s="171"/>
    </row>
    <row r="41" spans="2:9">
      <c r="B41" s="56"/>
      <c r="E41" s="173"/>
      <c r="F41" s="172"/>
      <c r="I41" s="171"/>
    </row>
    <row r="42" spans="2:9">
      <c r="B42" s="56"/>
      <c r="E42" s="173"/>
      <c r="F42" s="172"/>
      <c r="I42" s="171"/>
    </row>
    <row r="43" spans="2:9">
      <c r="B43" s="56"/>
      <c r="E43" s="173"/>
      <c r="F43" s="172"/>
      <c r="I43" s="171"/>
    </row>
    <row r="44" spans="2:9">
      <c r="B44" s="56"/>
      <c r="E44" s="173"/>
      <c r="F44" s="172"/>
      <c r="I44" s="171"/>
    </row>
    <row r="45" spans="2:9">
      <c r="B45" s="56"/>
      <c r="E45" s="173"/>
      <c r="F45" s="172"/>
      <c r="I45" s="171"/>
    </row>
    <row r="46" spans="2:9">
      <c r="B46" s="56"/>
      <c r="E46" s="173"/>
      <c r="F46" s="172"/>
      <c r="I46" s="171"/>
    </row>
    <row r="47" spans="2:9">
      <c r="B47" s="56"/>
      <c r="E47" s="173"/>
      <c r="F47" s="172"/>
      <c r="I47" s="171"/>
    </row>
    <row r="48" spans="2:9">
      <c r="B48" s="56"/>
      <c r="E48" s="173"/>
      <c r="F48" s="172"/>
      <c r="I48" s="171"/>
    </row>
    <row r="49" spans="2:9">
      <c r="B49" s="56"/>
      <c r="E49" s="173"/>
      <c r="F49" s="172"/>
      <c r="I49" s="171"/>
    </row>
    <row r="50" spans="2:9">
      <c r="B50" s="56"/>
      <c r="E50" s="173"/>
      <c r="F50" s="172"/>
      <c r="I50" s="171"/>
    </row>
    <row r="51" spans="2:9">
      <c r="B51" s="56"/>
      <c r="E51" s="173"/>
      <c r="F51" s="172"/>
      <c r="I51" s="171"/>
    </row>
    <row r="52" spans="2:9">
      <c r="B52" s="56"/>
      <c r="E52" s="173"/>
      <c r="F52" s="172"/>
      <c r="I52" s="171"/>
    </row>
    <row r="53" spans="2:9">
      <c r="B53" s="56"/>
      <c r="E53" s="173"/>
      <c r="F53" s="172"/>
      <c r="I53" s="171"/>
    </row>
    <row r="54" spans="2:9">
      <c r="B54" s="56"/>
      <c r="E54" s="173"/>
      <c r="F54" s="172"/>
      <c r="I54" s="171"/>
    </row>
    <row r="55" spans="2:9">
      <c r="B55" s="56"/>
      <c r="E55" s="173"/>
      <c r="F55" s="172"/>
      <c r="I55" s="171"/>
    </row>
    <row r="56" spans="2:9">
      <c r="B56" s="56"/>
      <c r="E56" s="173"/>
      <c r="F56" s="172"/>
      <c r="I56" s="171"/>
    </row>
    <row r="57" spans="2:9">
      <c r="B57" s="56"/>
      <c r="E57" s="173"/>
      <c r="F57" s="172"/>
      <c r="I57" s="171"/>
    </row>
    <row r="58" spans="2:9">
      <c r="B58" s="56"/>
      <c r="E58" s="173"/>
      <c r="F58" s="172"/>
      <c r="I58" s="171"/>
    </row>
    <row r="59" spans="2:9">
      <c r="B59" s="56"/>
      <c r="E59" s="173"/>
      <c r="F59" s="172"/>
      <c r="I59" s="171"/>
    </row>
    <row r="60" spans="2:9">
      <c r="B60" s="56"/>
      <c r="E60" s="173"/>
      <c r="F60" s="172"/>
      <c r="I60" s="171"/>
    </row>
    <row r="61" spans="2:9">
      <c r="B61" s="56"/>
      <c r="E61" s="173"/>
      <c r="F61" s="172"/>
      <c r="I61" s="171"/>
    </row>
    <row r="62" spans="2:9">
      <c r="B62" s="56"/>
      <c r="E62" s="173"/>
      <c r="F62" s="172"/>
      <c r="I62" s="171"/>
    </row>
    <row r="63" spans="2:9">
      <c r="B63" s="56"/>
      <c r="E63" s="173"/>
      <c r="F63" s="172"/>
      <c r="I63" s="171"/>
    </row>
    <row r="64" spans="2:9">
      <c r="B64" s="56"/>
      <c r="E64" s="173"/>
      <c r="F64" s="172"/>
      <c r="I64" s="171"/>
    </row>
    <row r="65" spans="2:9">
      <c r="B65" s="56"/>
      <c r="E65" s="173"/>
      <c r="F65" s="172"/>
      <c r="I65" s="171"/>
    </row>
    <row r="66" spans="2:9">
      <c r="B66" s="56"/>
      <c r="E66" s="173"/>
      <c r="F66" s="172"/>
      <c r="I66" s="171"/>
    </row>
    <row r="67" spans="2:9">
      <c r="B67" s="56"/>
      <c r="E67" s="173"/>
      <c r="F67" s="172"/>
      <c r="I67" s="171"/>
    </row>
    <row r="68" spans="2:9">
      <c r="B68" s="56"/>
      <c r="E68" s="173"/>
      <c r="F68" s="172"/>
      <c r="I68" s="171"/>
    </row>
    <row r="69" spans="2:9">
      <c r="B69" s="56"/>
      <c r="E69" s="173"/>
      <c r="F69" s="172"/>
      <c r="I69" s="171"/>
    </row>
    <row r="70" spans="2:9">
      <c r="B70" s="56"/>
      <c r="E70" s="173"/>
      <c r="F70" s="172"/>
      <c r="I70" s="171"/>
    </row>
    <row r="71" spans="2:9">
      <c r="B71" s="56"/>
      <c r="E71" s="173"/>
      <c r="F71" s="172"/>
      <c r="I71" s="171"/>
    </row>
    <row r="72" spans="2:9">
      <c r="B72" s="56"/>
      <c r="E72" s="173"/>
      <c r="F72" s="172"/>
      <c r="I72" s="171"/>
    </row>
    <row r="73" spans="2:9">
      <c r="B73" s="56"/>
      <c r="E73" s="173"/>
      <c r="F73" s="172"/>
      <c r="I73" s="171"/>
    </row>
    <row r="74" spans="2:9">
      <c r="B74" s="56"/>
      <c r="E74" s="173"/>
      <c r="F74" s="172"/>
      <c r="I74" s="171"/>
    </row>
    <row r="75" spans="2:9">
      <c r="B75" s="56"/>
      <c r="E75" s="173"/>
      <c r="F75" s="172"/>
      <c r="I75" s="171"/>
    </row>
    <row r="76" spans="2:9">
      <c r="B76" s="56"/>
      <c r="E76" s="173"/>
      <c r="F76" s="172"/>
      <c r="I76" s="171"/>
    </row>
    <row r="77" spans="2:9">
      <c r="B77" s="56"/>
      <c r="E77" s="173"/>
      <c r="F77" s="172"/>
      <c r="I77" s="171"/>
    </row>
    <row r="78" spans="2:9">
      <c r="B78" s="56"/>
      <c r="E78" s="173"/>
      <c r="F78" s="172"/>
      <c r="I78" s="171"/>
    </row>
    <row r="79" spans="2:9">
      <c r="B79" s="56"/>
      <c r="E79" s="173"/>
      <c r="F79" s="172"/>
      <c r="I79" s="171"/>
    </row>
    <row r="80" spans="2:9">
      <c r="B80" s="56"/>
      <c r="E80" s="173"/>
      <c r="F80" s="172"/>
      <c r="I80" s="171"/>
    </row>
    <row r="81" spans="2:9">
      <c r="B81" s="56"/>
      <c r="E81" s="173"/>
      <c r="F81" s="172"/>
      <c r="I81" s="171"/>
    </row>
    <row r="82" spans="2:9">
      <c r="B82" s="56"/>
      <c r="E82" s="173"/>
      <c r="F82" s="172"/>
      <c r="I82" s="171"/>
    </row>
    <row r="83" spans="2:9">
      <c r="B83" s="56"/>
      <c r="E83" s="173"/>
      <c r="F83" s="172"/>
      <c r="I83" s="171"/>
    </row>
    <row r="84" spans="2:9">
      <c r="B84" s="56"/>
      <c r="E84" s="173"/>
      <c r="F84" s="172"/>
      <c r="I84" s="171"/>
    </row>
    <row r="85" spans="2:9">
      <c r="B85" s="56"/>
      <c r="E85" s="173"/>
      <c r="F85" s="172"/>
      <c r="I85" s="171"/>
    </row>
    <row r="86" spans="2:9">
      <c r="B86" s="56"/>
      <c r="E86" s="173"/>
      <c r="F86" s="172"/>
      <c r="I86" s="171"/>
    </row>
    <row r="87" spans="2:9">
      <c r="B87" s="56"/>
      <c r="E87" s="173"/>
      <c r="F87" s="172"/>
      <c r="I87" s="171"/>
    </row>
    <row r="88" spans="2:9">
      <c r="B88" s="56"/>
      <c r="E88" s="173"/>
      <c r="F88" s="172"/>
      <c r="I88" s="171"/>
    </row>
    <row r="89" spans="2:9">
      <c r="B89" s="56"/>
      <c r="E89" s="173"/>
      <c r="F89" s="172"/>
      <c r="I89" s="171"/>
    </row>
    <row r="90" spans="2:9">
      <c r="B90" s="56"/>
      <c r="E90" s="173"/>
      <c r="F90" s="172"/>
      <c r="I90" s="171"/>
    </row>
    <row r="91" spans="2:9">
      <c r="B91" s="56"/>
      <c r="E91" s="173"/>
      <c r="F91" s="172"/>
      <c r="I91" s="171"/>
    </row>
    <row r="92" spans="2:9">
      <c r="B92" s="56"/>
      <c r="E92" s="173"/>
      <c r="F92" s="172"/>
      <c r="I92" s="171"/>
    </row>
    <row r="93" spans="2:9">
      <c r="B93" s="56"/>
      <c r="E93" s="173"/>
      <c r="F93" s="172"/>
      <c r="I93" s="171"/>
    </row>
    <row r="94" spans="2:9">
      <c r="B94" s="56"/>
      <c r="E94" s="173"/>
      <c r="F94" s="172"/>
      <c r="I94" s="171"/>
    </row>
    <row r="95" spans="2:9">
      <c r="B95" s="56"/>
      <c r="E95" s="173"/>
      <c r="F95" s="172"/>
      <c r="I95" s="171"/>
    </row>
    <row r="96" spans="2:9">
      <c r="B96" s="56"/>
      <c r="E96" s="173"/>
      <c r="F96" s="172"/>
      <c r="I96" s="171"/>
    </row>
    <row r="97" spans="2:9">
      <c r="B97" s="56"/>
      <c r="E97" s="173"/>
      <c r="F97" s="172"/>
      <c r="I97" s="171"/>
    </row>
    <row r="98" spans="2:9">
      <c r="B98" s="56"/>
      <c r="E98" s="173"/>
      <c r="F98" s="172"/>
      <c r="I98" s="171"/>
    </row>
    <row r="99" spans="2:9">
      <c r="B99" s="56"/>
      <c r="E99" s="173"/>
      <c r="F99" s="172"/>
      <c r="I99" s="171"/>
    </row>
    <row r="100" spans="2:9">
      <c r="B100" s="56"/>
      <c r="E100" s="173"/>
      <c r="F100" s="172"/>
      <c r="I100" s="171"/>
    </row>
    <row r="101" spans="2:9">
      <c r="B101" s="56"/>
      <c r="E101" s="173"/>
      <c r="F101" s="172"/>
      <c r="I101" s="171"/>
    </row>
    <row r="102" spans="2:9">
      <c r="B102" s="56"/>
      <c r="E102" s="173"/>
      <c r="F102" s="172"/>
      <c r="I102" s="171"/>
    </row>
    <row r="103" spans="2:9">
      <c r="B103" s="56"/>
      <c r="E103" s="173"/>
      <c r="F103" s="172"/>
      <c r="I103" s="171"/>
    </row>
    <row r="104" spans="2:9">
      <c r="B104" s="56"/>
      <c r="E104" s="173"/>
      <c r="F104" s="172"/>
      <c r="I104" s="171"/>
    </row>
    <row r="105" spans="2:9">
      <c r="B105" s="56"/>
      <c r="E105" s="173"/>
      <c r="F105" s="172"/>
      <c r="I105" s="171"/>
    </row>
    <row r="106" spans="2:9">
      <c r="B106" s="56"/>
      <c r="E106" s="173"/>
      <c r="F106" s="172"/>
      <c r="I106" s="171"/>
    </row>
    <row r="107" spans="2:9">
      <c r="B107" s="56"/>
      <c r="E107" s="173"/>
      <c r="F107" s="172"/>
      <c r="I107" s="171"/>
    </row>
    <row r="108" spans="2:9">
      <c r="B108" s="56"/>
      <c r="E108" s="173"/>
      <c r="F108" s="172"/>
      <c r="I108" s="171"/>
    </row>
    <row r="109" spans="2:9">
      <c r="B109" s="56"/>
      <c r="E109" s="173"/>
      <c r="F109" s="172"/>
      <c r="I109" s="171"/>
    </row>
    <row r="110" spans="2:9">
      <c r="B110" s="56"/>
      <c r="E110" s="173"/>
      <c r="F110" s="172"/>
      <c r="I110" s="171"/>
    </row>
    <row r="111" spans="2:9">
      <c r="B111" s="56"/>
      <c r="E111" s="173"/>
      <c r="F111" s="172"/>
      <c r="I111" s="171"/>
    </row>
    <row r="112" spans="2:9">
      <c r="B112" s="56"/>
      <c r="E112" s="173"/>
      <c r="F112" s="172"/>
      <c r="I112" s="171"/>
    </row>
    <row r="113" spans="2:9">
      <c r="B113" s="56"/>
      <c r="E113" s="173"/>
      <c r="F113" s="172"/>
      <c r="I113" s="171"/>
    </row>
    <row r="114" spans="2:9">
      <c r="B114" s="56"/>
      <c r="E114" s="173"/>
      <c r="F114" s="172"/>
      <c r="I114" s="171"/>
    </row>
    <row r="115" spans="2:9">
      <c r="B115" s="56"/>
      <c r="E115" s="173"/>
      <c r="F115" s="172"/>
      <c r="I115" s="171"/>
    </row>
  </sheetData>
  <conditionalFormatting sqref="C16:C21 C74:C92 C23:C48 C102 C94:C100 C53:C63 C50:C51 C65:C71 C104:C113 C115">
    <cfRule type="duplicateValues" dxfId="20" priority="11"/>
  </conditionalFormatting>
  <conditionalFormatting sqref="C72">
    <cfRule type="duplicateValues" dxfId="19" priority="10"/>
  </conditionalFormatting>
  <conditionalFormatting sqref="C22">
    <cfRule type="duplicateValues" dxfId="18" priority="9"/>
  </conditionalFormatting>
  <conditionalFormatting sqref="C101">
    <cfRule type="duplicateValues" dxfId="17" priority="8"/>
  </conditionalFormatting>
  <conditionalFormatting sqref="C93">
    <cfRule type="duplicateValues" dxfId="16" priority="7"/>
  </conditionalFormatting>
  <conditionalFormatting sqref="C52">
    <cfRule type="duplicateValues" dxfId="15" priority="6"/>
  </conditionalFormatting>
  <conditionalFormatting sqref="C49">
    <cfRule type="duplicateValues" dxfId="14" priority="5"/>
  </conditionalFormatting>
  <conditionalFormatting sqref="C64">
    <cfRule type="duplicateValues" dxfId="13" priority="4"/>
  </conditionalFormatting>
  <conditionalFormatting sqref="C73">
    <cfRule type="duplicateValues" dxfId="12" priority="3"/>
  </conditionalFormatting>
  <conditionalFormatting sqref="C103">
    <cfRule type="duplicateValues" dxfId="11" priority="2"/>
  </conditionalFormatting>
  <conditionalFormatting sqref="C114">
    <cfRule type="duplicateValues" dxfId="10" priority="1"/>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FFB7"/>
  </sheetPr>
  <dimension ref="A1:BC115"/>
  <sheetViews>
    <sheetView showGridLines="0" zoomScale="85" zoomScaleNormal="85" workbookViewId="0">
      <pane xSplit="3" ySplit="10" topLeftCell="D11" activePane="bottomRight" state="frozen"/>
      <selection activeCell="D17" sqref="D17"/>
      <selection pane="topRight" activeCell="D17" sqref="D17"/>
      <selection pane="bottomLeft" activeCell="D17" sqref="D17"/>
      <selection pane="bottomRight" activeCell="F23" sqref="F23"/>
    </sheetView>
  </sheetViews>
  <sheetFormatPr defaultColWidth="0" defaultRowHeight="13.5"/>
  <cols>
    <col min="1" max="1" width="1.5" customWidth="1"/>
    <col min="2" max="2" width="8.625" customWidth="1"/>
    <col min="3" max="3" width="14.6875" customWidth="1"/>
    <col min="4" max="5" width="16.625" customWidth="1"/>
    <col min="6" max="6" width="14.625" customWidth="1"/>
    <col min="7" max="7" width="25.875" customWidth="1"/>
    <col min="8" max="9" width="8.625" customWidth="1"/>
    <col min="10" max="10" width="8.625" hidden="1" customWidth="1"/>
    <col min="11" max="51" width="8.625" customWidth="1"/>
    <col min="52" max="55" width="0" hidden="1" customWidth="1"/>
    <col min="56" max="16384" width="9" hidden="1"/>
  </cols>
  <sheetData>
    <row r="1" spans="2:10" ht="3" customHeight="1"/>
    <row r="2" spans="2:10" ht="23.25">
      <c r="B2" s="79" t="s">
        <v>458</v>
      </c>
      <c r="G2" t="s">
        <v>455</v>
      </c>
    </row>
    <row r="3" spans="2:10" ht="23.25">
      <c r="B3" s="80" t="s">
        <v>459</v>
      </c>
    </row>
    <row r="4" spans="2:10" ht="3" customHeight="1"/>
    <row r="5" spans="2:10" ht="0.95" customHeight="1">
      <c r="B5" s="81"/>
      <c r="C5" s="81"/>
      <c r="D5" s="81"/>
      <c r="E5" s="81"/>
      <c r="F5" s="81"/>
      <c r="G5" s="81"/>
    </row>
    <row r="6" spans="2:10" ht="3" customHeight="1"/>
    <row r="7" spans="2:10" s="177" customFormat="1" hidden="1">
      <c r="B7" s="83" t="s">
        <v>236</v>
      </c>
    </row>
    <row r="8" spans="2:10" ht="3" customHeight="1"/>
    <row r="9" spans="2:10" ht="0.95" customHeight="1">
      <c r="B9" s="81"/>
      <c r="C9" s="81"/>
      <c r="D9" s="81"/>
      <c r="E9" s="81"/>
      <c r="F9" s="81"/>
      <c r="G9" s="81"/>
    </row>
    <row r="10" spans="2:10" ht="3" customHeight="1"/>
    <row r="12" spans="2:10">
      <c r="J12" t="s">
        <v>441</v>
      </c>
    </row>
    <row r="13" spans="2:10">
      <c r="J13" t="s">
        <v>437</v>
      </c>
    </row>
    <row r="14" spans="2:10" ht="14.25" thickBot="1">
      <c r="B14" s="157"/>
      <c r="J14" t="s">
        <v>438</v>
      </c>
    </row>
    <row r="15" spans="2:10" ht="13.9" thickBot="1">
      <c r="B15" s="56"/>
      <c r="C15" s="179" t="s">
        <v>457</v>
      </c>
      <c r="D15" s="180" t="s">
        <v>440</v>
      </c>
      <c r="G15" s="56"/>
      <c r="J15" t="s">
        <v>439</v>
      </c>
    </row>
    <row r="16" spans="2:10">
      <c r="B16" s="56"/>
      <c r="I16" s="171"/>
      <c r="J16" t="s">
        <v>440</v>
      </c>
    </row>
    <row r="17" spans="2:9" ht="27.75">
      <c r="B17" s="56"/>
      <c r="C17" s="178" t="s">
        <v>456</v>
      </c>
      <c r="D17" s="178" t="s">
        <v>435</v>
      </c>
      <c r="E17" s="178" t="s">
        <v>436</v>
      </c>
      <c r="I17" s="171"/>
    </row>
    <row r="18" spans="2:9">
      <c r="B18" s="56"/>
      <c r="C18" s="165">
        <v>1</v>
      </c>
      <c r="D18" s="163" t="str">
        <f t="shared" ref="D18:E27" ca="1" si="0">IFERROR(AVERAGEIFS(INDIRECT($G$2&amp;"Base"),INDIRECT($G$2&amp;"Gender"),D$17,INDIRECT($G$2&amp;"Performance"),$C18,INDIRECT($G$2&amp;"Department"),$D$15),"--")</f>
        <v>--</v>
      </c>
      <c r="E18" s="163">
        <f t="shared" ca="1" si="0"/>
        <v>49600</v>
      </c>
      <c r="F18" s="172"/>
      <c r="I18" s="171"/>
    </row>
    <row r="19" spans="2:9">
      <c r="B19" s="56"/>
      <c r="C19" s="165">
        <v>2</v>
      </c>
      <c r="D19" s="163" t="str">
        <f t="shared" ca="1" si="0"/>
        <v>--</v>
      </c>
      <c r="E19" s="163">
        <f t="shared" ca="1" si="0"/>
        <v>27100</v>
      </c>
      <c r="F19" s="172"/>
      <c r="I19" s="171"/>
    </row>
    <row r="20" spans="2:9">
      <c r="B20" s="56"/>
      <c r="C20" s="165">
        <v>3</v>
      </c>
      <c r="D20" s="163" t="str">
        <f t="shared" ca="1" si="0"/>
        <v>--</v>
      </c>
      <c r="E20" s="163" t="str">
        <f t="shared" ca="1" si="0"/>
        <v>--</v>
      </c>
      <c r="F20" s="172"/>
      <c r="I20" s="171"/>
    </row>
    <row r="21" spans="2:9">
      <c r="B21" s="56"/>
      <c r="C21" s="165">
        <v>4</v>
      </c>
      <c r="D21" s="163">
        <f t="shared" ca="1" si="0"/>
        <v>50450</v>
      </c>
      <c r="E21" s="163">
        <f t="shared" ca="1" si="0"/>
        <v>41100</v>
      </c>
      <c r="F21" s="172"/>
      <c r="I21" s="171"/>
    </row>
    <row r="22" spans="2:9">
      <c r="B22" s="56"/>
      <c r="C22" s="165">
        <v>5</v>
      </c>
      <c r="D22" s="163">
        <f t="shared" ca="1" si="0"/>
        <v>39350</v>
      </c>
      <c r="E22" s="163" t="str">
        <f t="shared" ca="1" si="0"/>
        <v>--</v>
      </c>
      <c r="F22" s="172"/>
      <c r="I22" s="171"/>
    </row>
    <row r="23" spans="2:9">
      <c r="B23" s="56"/>
      <c r="C23" s="165">
        <v>6</v>
      </c>
      <c r="D23" s="163">
        <f t="shared" ca="1" si="0"/>
        <v>39600</v>
      </c>
      <c r="E23" s="163" t="str">
        <f t="shared" ca="1" si="0"/>
        <v>--</v>
      </c>
      <c r="F23" s="172"/>
      <c r="I23" s="171"/>
    </row>
    <row r="24" spans="2:9">
      <c r="B24" s="56"/>
      <c r="C24" s="165">
        <v>7</v>
      </c>
      <c r="D24" s="163">
        <f t="shared" ca="1" si="0"/>
        <v>50700</v>
      </c>
      <c r="E24" s="163" t="str">
        <f t="shared" ca="1" si="0"/>
        <v>--</v>
      </c>
      <c r="F24" s="172"/>
      <c r="I24" s="171"/>
    </row>
    <row r="25" spans="2:9">
      <c r="B25" s="56"/>
      <c r="C25" s="165">
        <v>8</v>
      </c>
      <c r="D25" s="163">
        <f t="shared" ca="1" si="0"/>
        <v>32100</v>
      </c>
      <c r="E25" s="163">
        <f t="shared" ca="1" si="0"/>
        <v>38550</v>
      </c>
      <c r="F25" s="172"/>
      <c r="I25" s="171"/>
    </row>
    <row r="26" spans="2:9">
      <c r="B26" s="56"/>
      <c r="C26" s="165">
        <v>9</v>
      </c>
      <c r="D26" s="163">
        <f t="shared" ca="1" si="0"/>
        <v>46400</v>
      </c>
      <c r="E26" s="163">
        <f t="shared" ca="1" si="0"/>
        <v>46200</v>
      </c>
      <c r="F26" s="172"/>
      <c r="I26" s="171"/>
    </row>
    <row r="27" spans="2:9">
      <c r="B27" s="56"/>
      <c r="C27" s="165">
        <v>10</v>
      </c>
      <c r="D27" s="163" t="str">
        <f t="shared" ca="1" si="0"/>
        <v>--</v>
      </c>
      <c r="E27" s="163" t="str">
        <f t="shared" ca="1" si="0"/>
        <v>--</v>
      </c>
      <c r="F27" s="172"/>
      <c r="I27" s="171"/>
    </row>
    <row r="28" spans="2:9">
      <c r="B28" s="56"/>
      <c r="E28" s="173"/>
      <c r="F28" s="172"/>
      <c r="I28" s="171"/>
    </row>
    <row r="29" spans="2:9">
      <c r="B29" s="56"/>
      <c r="E29" s="173"/>
      <c r="F29" s="172"/>
      <c r="I29" s="171"/>
    </row>
    <row r="30" spans="2:9">
      <c r="B30" s="56"/>
      <c r="E30" s="173"/>
      <c r="F30" s="172"/>
      <c r="I30" s="171"/>
    </row>
    <row r="31" spans="2:9">
      <c r="B31" s="56"/>
      <c r="E31" s="173"/>
      <c r="F31" s="172"/>
      <c r="I31" s="171"/>
    </row>
    <row r="32" spans="2:9">
      <c r="B32" s="56"/>
      <c r="E32" s="173"/>
      <c r="F32" s="172"/>
      <c r="I32" s="171"/>
    </row>
    <row r="33" spans="2:9">
      <c r="B33" s="56"/>
      <c r="E33" s="173"/>
      <c r="F33" s="172"/>
      <c r="I33" s="171"/>
    </row>
    <row r="34" spans="2:9">
      <c r="B34" s="56"/>
      <c r="E34" s="173"/>
      <c r="F34" s="172"/>
      <c r="I34" s="171"/>
    </row>
    <row r="35" spans="2:9">
      <c r="B35" s="56"/>
      <c r="E35" s="173"/>
      <c r="F35" s="172"/>
      <c r="I35" s="171"/>
    </row>
    <row r="36" spans="2:9">
      <c r="B36" s="56"/>
      <c r="E36" s="173"/>
      <c r="F36" s="172"/>
      <c r="I36" s="171"/>
    </row>
    <row r="37" spans="2:9">
      <c r="B37" s="56"/>
      <c r="E37" s="173"/>
      <c r="F37" s="172"/>
      <c r="I37" s="171"/>
    </row>
    <row r="38" spans="2:9">
      <c r="B38" s="56"/>
      <c r="E38" s="173"/>
      <c r="F38" s="172"/>
      <c r="I38" s="171"/>
    </row>
    <row r="39" spans="2:9">
      <c r="B39" s="56"/>
      <c r="E39" s="173"/>
      <c r="F39" s="172"/>
      <c r="I39" s="171"/>
    </row>
    <row r="40" spans="2:9">
      <c r="B40" s="56"/>
      <c r="E40" s="173"/>
      <c r="F40" s="172"/>
      <c r="I40" s="171"/>
    </row>
    <row r="41" spans="2:9">
      <c r="B41" s="56"/>
      <c r="E41" s="173"/>
      <c r="F41" s="172"/>
      <c r="I41" s="171"/>
    </row>
    <row r="42" spans="2:9">
      <c r="B42" s="56"/>
      <c r="E42" s="173"/>
      <c r="F42" s="172"/>
      <c r="I42" s="171"/>
    </row>
    <row r="43" spans="2:9">
      <c r="B43" s="56"/>
      <c r="E43" s="173"/>
      <c r="F43" s="172"/>
      <c r="I43" s="171"/>
    </row>
    <row r="44" spans="2:9">
      <c r="B44" s="56"/>
      <c r="E44" s="173"/>
      <c r="F44" s="172"/>
      <c r="I44" s="171"/>
    </row>
    <row r="45" spans="2:9">
      <c r="B45" s="56"/>
      <c r="E45" s="173"/>
      <c r="F45" s="172"/>
      <c r="I45" s="171"/>
    </row>
    <row r="46" spans="2:9">
      <c r="B46" s="56"/>
      <c r="E46" s="173"/>
      <c r="F46" s="172"/>
      <c r="I46" s="171"/>
    </row>
    <row r="47" spans="2:9">
      <c r="B47" s="56"/>
      <c r="E47" s="173"/>
      <c r="F47" s="172"/>
      <c r="I47" s="171"/>
    </row>
    <row r="48" spans="2:9">
      <c r="B48" s="56"/>
      <c r="E48" s="173"/>
      <c r="F48" s="172"/>
      <c r="I48" s="171"/>
    </row>
    <row r="49" spans="2:9">
      <c r="B49" s="56"/>
      <c r="E49" s="173"/>
      <c r="F49" s="172"/>
      <c r="I49" s="171"/>
    </row>
    <row r="50" spans="2:9">
      <c r="B50" s="56"/>
      <c r="E50" s="173"/>
      <c r="F50" s="172"/>
      <c r="I50" s="171"/>
    </row>
    <row r="51" spans="2:9">
      <c r="B51" s="56"/>
      <c r="E51" s="173"/>
      <c r="F51" s="172"/>
      <c r="I51" s="171"/>
    </row>
    <row r="52" spans="2:9">
      <c r="B52" s="56"/>
      <c r="E52" s="173"/>
      <c r="F52" s="172"/>
      <c r="I52" s="171"/>
    </row>
    <row r="53" spans="2:9">
      <c r="B53" s="56"/>
      <c r="E53" s="173"/>
      <c r="F53" s="172"/>
      <c r="I53" s="171"/>
    </row>
    <row r="54" spans="2:9">
      <c r="B54" s="56"/>
      <c r="E54" s="173"/>
      <c r="F54" s="172"/>
      <c r="I54" s="171"/>
    </row>
    <row r="55" spans="2:9">
      <c r="B55" s="56"/>
      <c r="E55" s="173"/>
      <c r="F55" s="172"/>
      <c r="I55" s="171"/>
    </row>
    <row r="56" spans="2:9">
      <c r="B56" s="56"/>
      <c r="E56" s="173"/>
      <c r="F56" s="172"/>
      <c r="I56" s="171"/>
    </row>
    <row r="57" spans="2:9">
      <c r="B57" s="56"/>
      <c r="E57" s="173"/>
      <c r="F57" s="172"/>
      <c r="I57" s="171"/>
    </row>
    <row r="58" spans="2:9">
      <c r="B58" s="56"/>
      <c r="E58" s="173"/>
      <c r="F58" s="172"/>
      <c r="I58" s="171"/>
    </row>
    <row r="59" spans="2:9">
      <c r="B59" s="56"/>
      <c r="E59" s="173"/>
      <c r="F59" s="172"/>
      <c r="I59" s="171"/>
    </row>
    <row r="60" spans="2:9">
      <c r="B60" s="56"/>
      <c r="E60" s="173"/>
      <c r="F60" s="172"/>
      <c r="I60" s="171"/>
    </row>
    <row r="61" spans="2:9">
      <c r="B61" s="56"/>
      <c r="E61" s="173"/>
      <c r="F61" s="172"/>
      <c r="I61" s="171"/>
    </row>
    <row r="62" spans="2:9">
      <c r="B62" s="56"/>
      <c r="E62" s="173"/>
      <c r="F62" s="172"/>
      <c r="I62" s="171"/>
    </row>
    <row r="63" spans="2:9">
      <c r="B63" s="56"/>
      <c r="E63" s="173"/>
      <c r="F63" s="172"/>
      <c r="I63" s="171"/>
    </row>
    <row r="64" spans="2:9">
      <c r="B64" s="56"/>
      <c r="E64" s="173"/>
      <c r="F64" s="172"/>
      <c r="I64" s="171"/>
    </row>
    <row r="65" spans="2:9">
      <c r="B65" s="56"/>
      <c r="E65" s="173"/>
      <c r="F65" s="172"/>
      <c r="I65" s="171"/>
    </row>
    <row r="66" spans="2:9">
      <c r="B66" s="56"/>
      <c r="E66" s="173"/>
      <c r="F66" s="172"/>
      <c r="I66" s="171"/>
    </row>
    <row r="67" spans="2:9">
      <c r="B67" s="56"/>
      <c r="E67" s="173"/>
      <c r="F67" s="172"/>
      <c r="I67" s="171"/>
    </row>
    <row r="68" spans="2:9">
      <c r="B68" s="56"/>
      <c r="E68" s="173"/>
      <c r="F68" s="172"/>
      <c r="I68" s="171"/>
    </row>
    <row r="69" spans="2:9">
      <c r="B69" s="56"/>
      <c r="E69" s="173"/>
      <c r="F69" s="172"/>
      <c r="I69" s="171"/>
    </row>
    <row r="70" spans="2:9">
      <c r="B70" s="56"/>
      <c r="E70" s="173"/>
      <c r="F70" s="172"/>
      <c r="I70" s="171"/>
    </row>
    <row r="71" spans="2:9">
      <c r="B71" s="56"/>
      <c r="E71" s="173"/>
      <c r="F71" s="172"/>
      <c r="I71" s="171"/>
    </row>
    <row r="72" spans="2:9">
      <c r="B72" s="56"/>
      <c r="E72" s="173"/>
      <c r="F72" s="172"/>
      <c r="I72" s="171"/>
    </row>
    <row r="73" spans="2:9">
      <c r="B73" s="56"/>
      <c r="E73" s="173"/>
      <c r="F73" s="172"/>
      <c r="I73" s="171"/>
    </row>
    <row r="74" spans="2:9">
      <c r="B74" s="56"/>
      <c r="E74" s="173"/>
      <c r="F74" s="172"/>
      <c r="I74" s="171"/>
    </row>
    <row r="75" spans="2:9">
      <c r="B75" s="56"/>
      <c r="E75" s="173"/>
      <c r="F75" s="172"/>
      <c r="I75" s="171"/>
    </row>
    <row r="76" spans="2:9">
      <c r="B76" s="56"/>
      <c r="E76" s="173"/>
      <c r="F76" s="172"/>
      <c r="I76" s="171"/>
    </row>
    <row r="77" spans="2:9">
      <c r="B77" s="56"/>
      <c r="E77" s="173"/>
      <c r="F77" s="172"/>
      <c r="I77" s="171"/>
    </row>
    <row r="78" spans="2:9">
      <c r="B78" s="56"/>
      <c r="E78" s="173"/>
      <c r="F78" s="172"/>
      <c r="I78" s="171"/>
    </row>
    <row r="79" spans="2:9">
      <c r="B79" s="56"/>
      <c r="E79" s="173"/>
      <c r="F79" s="172"/>
      <c r="I79" s="171"/>
    </row>
    <row r="80" spans="2:9">
      <c r="B80" s="56"/>
      <c r="E80" s="173"/>
      <c r="F80" s="172"/>
      <c r="I80" s="171"/>
    </row>
    <row r="81" spans="2:9">
      <c r="B81" s="56"/>
      <c r="E81" s="173"/>
      <c r="F81" s="172"/>
      <c r="I81" s="171"/>
    </row>
    <row r="82" spans="2:9">
      <c r="B82" s="56"/>
      <c r="E82" s="173"/>
      <c r="F82" s="172"/>
      <c r="I82" s="171"/>
    </row>
    <row r="83" spans="2:9">
      <c r="B83" s="56"/>
      <c r="E83" s="173"/>
      <c r="F83" s="172"/>
      <c r="I83" s="171"/>
    </row>
    <row r="84" spans="2:9">
      <c r="B84" s="56"/>
      <c r="E84" s="173"/>
      <c r="F84" s="172"/>
      <c r="I84" s="171"/>
    </row>
    <row r="85" spans="2:9">
      <c r="B85" s="56"/>
      <c r="E85" s="173"/>
      <c r="F85" s="172"/>
      <c r="I85" s="171"/>
    </row>
    <row r="86" spans="2:9">
      <c r="B86" s="56"/>
      <c r="E86" s="173"/>
      <c r="F86" s="172"/>
      <c r="I86" s="171"/>
    </row>
    <row r="87" spans="2:9">
      <c r="B87" s="56"/>
      <c r="E87" s="173"/>
      <c r="F87" s="172"/>
      <c r="I87" s="171"/>
    </row>
    <row r="88" spans="2:9">
      <c r="B88" s="56"/>
      <c r="E88" s="173"/>
      <c r="F88" s="172"/>
      <c r="I88" s="171"/>
    </row>
    <row r="89" spans="2:9">
      <c r="B89" s="56"/>
      <c r="E89" s="173"/>
      <c r="F89" s="172"/>
      <c r="I89" s="171"/>
    </row>
    <row r="90" spans="2:9">
      <c r="B90" s="56"/>
      <c r="E90" s="173"/>
      <c r="F90" s="172"/>
      <c r="I90" s="171"/>
    </row>
    <row r="91" spans="2:9">
      <c r="B91" s="56"/>
      <c r="E91" s="173"/>
      <c r="F91" s="172"/>
      <c r="I91" s="171"/>
    </row>
    <row r="92" spans="2:9">
      <c r="B92" s="56"/>
      <c r="E92" s="173"/>
      <c r="F92" s="172"/>
      <c r="I92" s="171"/>
    </row>
    <row r="93" spans="2:9">
      <c r="B93" s="56"/>
      <c r="E93" s="173"/>
      <c r="F93" s="172"/>
      <c r="I93" s="171"/>
    </row>
    <row r="94" spans="2:9">
      <c r="B94" s="56"/>
      <c r="E94" s="173"/>
      <c r="F94" s="172"/>
      <c r="I94" s="171"/>
    </row>
    <row r="95" spans="2:9">
      <c r="B95" s="56"/>
      <c r="E95" s="173"/>
      <c r="F95" s="172"/>
      <c r="I95" s="171"/>
    </row>
    <row r="96" spans="2:9">
      <c r="B96" s="56"/>
      <c r="E96" s="173"/>
      <c r="F96" s="172"/>
      <c r="I96" s="171"/>
    </row>
    <row r="97" spans="2:9">
      <c r="B97" s="56"/>
      <c r="E97" s="173"/>
      <c r="F97" s="172"/>
      <c r="I97" s="171"/>
    </row>
    <row r="98" spans="2:9">
      <c r="B98" s="56"/>
      <c r="E98" s="173"/>
      <c r="F98" s="172"/>
      <c r="I98" s="171"/>
    </row>
    <row r="99" spans="2:9">
      <c r="B99" s="56"/>
      <c r="E99" s="173"/>
      <c r="F99" s="172"/>
      <c r="I99" s="171"/>
    </row>
    <row r="100" spans="2:9">
      <c r="B100" s="56"/>
      <c r="E100" s="173"/>
      <c r="F100" s="172"/>
      <c r="I100" s="171"/>
    </row>
    <row r="101" spans="2:9">
      <c r="B101" s="56"/>
      <c r="E101" s="173"/>
      <c r="F101" s="172"/>
      <c r="I101" s="171"/>
    </row>
    <row r="102" spans="2:9">
      <c r="B102" s="56"/>
      <c r="E102" s="173"/>
      <c r="F102" s="172"/>
      <c r="I102" s="171"/>
    </row>
    <row r="103" spans="2:9">
      <c r="B103" s="56"/>
      <c r="E103" s="173"/>
      <c r="F103" s="172"/>
      <c r="I103" s="171"/>
    </row>
    <row r="104" spans="2:9">
      <c r="B104" s="56"/>
      <c r="E104" s="173"/>
      <c r="F104" s="172"/>
      <c r="I104" s="171"/>
    </row>
    <row r="105" spans="2:9">
      <c r="B105" s="56"/>
      <c r="E105" s="173"/>
      <c r="F105" s="172"/>
      <c r="I105" s="171"/>
    </row>
    <row r="106" spans="2:9">
      <c r="B106" s="56"/>
      <c r="E106" s="173"/>
      <c r="F106" s="172"/>
      <c r="I106" s="171"/>
    </row>
    <row r="107" spans="2:9">
      <c r="B107" s="56"/>
      <c r="E107" s="173"/>
      <c r="F107" s="172"/>
      <c r="I107" s="171"/>
    </row>
    <row r="108" spans="2:9">
      <c r="B108" s="56"/>
      <c r="E108" s="173"/>
      <c r="F108" s="172"/>
      <c r="I108" s="171"/>
    </row>
    <row r="109" spans="2:9">
      <c r="B109" s="56"/>
      <c r="E109" s="173"/>
      <c r="F109" s="172"/>
      <c r="I109" s="171"/>
    </row>
    <row r="110" spans="2:9">
      <c r="B110" s="56"/>
      <c r="E110" s="173"/>
      <c r="F110" s="172"/>
      <c r="I110" s="171"/>
    </row>
    <row r="111" spans="2:9">
      <c r="B111" s="56"/>
      <c r="E111" s="173"/>
      <c r="F111" s="172"/>
      <c r="I111" s="171"/>
    </row>
    <row r="112" spans="2:9">
      <c r="B112" s="56"/>
      <c r="E112" s="173"/>
      <c r="F112" s="172"/>
      <c r="I112" s="171"/>
    </row>
    <row r="113" spans="2:9">
      <c r="B113" s="56"/>
      <c r="E113" s="173"/>
      <c r="F113" s="172"/>
      <c r="I113" s="171"/>
    </row>
    <row r="114" spans="2:9">
      <c r="B114" s="56"/>
      <c r="E114" s="173"/>
      <c r="F114" s="172"/>
      <c r="I114" s="171"/>
    </row>
    <row r="115" spans="2:9">
      <c r="B115" s="56"/>
      <c r="E115" s="173"/>
      <c r="F115" s="172"/>
      <c r="I115" s="171"/>
    </row>
  </sheetData>
  <conditionalFormatting sqref="C72">
    <cfRule type="duplicateValues" dxfId="9" priority="10"/>
  </conditionalFormatting>
  <conditionalFormatting sqref="C101">
    <cfRule type="duplicateValues" dxfId="8" priority="9"/>
  </conditionalFormatting>
  <conditionalFormatting sqref="C93">
    <cfRule type="duplicateValues" dxfId="7" priority="8"/>
  </conditionalFormatting>
  <conditionalFormatting sqref="C52">
    <cfRule type="duplicateValues" dxfId="6" priority="7"/>
  </conditionalFormatting>
  <conditionalFormatting sqref="C49">
    <cfRule type="duplicateValues" dxfId="5" priority="6"/>
  </conditionalFormatting>
  <conditionalFormatting sqref="C64">
    <cfRule type="duplicateValues" dxfId="4" priority="5"/>
  </conditionalFormatting>
  <conditionalFormatting sqref="C73">
    <cfRule type="duplicateValues" dxfId="3" priority="4"/>
  </conditionalFormatting>
  <conditionalFormatting sqref="C103">
    <cfRule type="duplicateValues" dxfId="2" priority="3"/>
  </conditionalFormatting>
  <conditionalFormatting sqref="C114">
    <cfRule type="duplicateValues" dxfId="1" priority="2"/>
  </conditionalFormatting>
  <conditionalFormatting sqref="C74:C92 C102 C94:C100 C53:C63 C50:C51 C65:C71 C104:C113 C115 C18:C48">
    <cfRule type="duplicateValues" dxfId="0" priority="11"/>
  </conditionalFormatting>
  <conditionalFormatting sqref="D18:E27">
    <cfRule type="dataBar" priority="1">
      <dataBar>
        <cfvo type="min"/>
        <cfvo type="max"/>
        <color rgb="FF63C384"/>
      </dataBar>
      <extLst>
        <ext xmlns:x14="http://schemas.microsoft.com/office/spreadsheetml/2009/9/main" uri="{B025F937-C7B1-47D3-B67F-A62EFF666E3E}">
          <x14:id>{BC2242A6-2DBC-4ADE-81C4-B7DFFFD9F4E8}</x14:id>
        </ext>
      </extLst>
    </cfRule>
  </conditionalFormatting>
  <dataValidations count="1">
    <dataValidation type="list" allowBlank="1" showInputMessage="1" showErrorMessage="1" sqref="D15" xr:uid="{00000000-0002-0000-1100-000000000000}">
      <formula1>$J$12:$J$16</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BC2242A6-2DBC-4ADE-81C4-B7DFFFD9F4E8}">
            <x14:dataBar minLength="0" maxLength="100" gradient="0">
              <x14:cfvo type="autoMin"/>
              <x14:cfvo type="autoMax"/>
              <x14:negativeFillColor rgb="FFFF0000"/>
              <x14:axisColor rgb="FF000000"/>
            </x14:dataBar>
          </x14:cfRule>
          <xm:sqref>D18:E27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FFFF00"/>
  </sheetPr>
  <dimension ref="A1:P44"/>
  <sheetViews>
    <sheetView showGridLines="0" zoomScale="70" zoomScaleNormal="70" workbookViewId="0">
      <selection activeCell="G32" sqref="G32"/>
    </sheetView>
  </sheetViews>
  <sheetFormatPr defaultColWidth="0" defaultRowHeight="0" customHeight="1" zeroHeight="1"/>
  <cols>
    <col min="1" max="1" width="2.875" style="1" customWidth="1"/>
    <col min="2" max="2" width="49.875" style="1" bestFit="1" customWidth="1"/>
    <col min="3" max="4" width="25.625" style="1" hidden="1" customWidth="1"/>
    <col min="5" max="10" width="23.625" style="1" customWidth="1"/>
    <col min="11" max="11" width="13.375" style="1" customWidth="1"/>
    <col min="12" max="14" width="9" style="1" customWidth="1"/>
    <col min="15" max="16" width="0" style="1" hidden="1" customWidth="1"/>
    <col min="17" max="16384" width="8" style="1" hidden="1"/>
  </cols>
  <sheetData>
    <row r="1" spans="2:14" customFormat="1" ht="3" customHeight="1"/>
    <row r="2" spans="2:14" customFormat="1" ht="23.25">
      <c r="B2" s="79" t="s">
        <v>458</v>
      </c>
    </row>
    <row r="3" spans="2:14" customFormat="1" ht="23.25">
      <c r="B3" s="80" t="s">
        <v>450</v>
      </c>
    </row>
    <row r="4" spans="2:14" customFormat="1" ht="3" customHeight="1">
      <c r="B4" s="72"/>
      <c r="C4" s="72"/>
      <c r="D4" s="72"/>
      <c r="E4" s="72"/>
      <c r="F4" s="72"/>
      <c r="G4" s="72"/>
      <c r="H4" s="72"/>
      <c r="I4" s="72"/>
      <c r="J4" s="72"/>
      <c r="K4" s="72"/>
      <c r="L4" s="72"/>
      <c r="M4" s="72"/>
      <c r="N4" s="72"/>
    </row>
    <row r="5" spans="2:14" customFormat="1" ht="0.95"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3.5"/>
    <row r="8" spans="2:14" ht="13.5"/>
    <row r="9" spans="2:14" ht="13.5"/>
    <row r="10" spans="2:14" ht="13.5"/>
    <row r="11" spans="2:14" ht="13.5"/>
    <row r="12" spans="2:14" ht="13.5">
      <c r="B12" s="177"/>
    </row>
    <row r="13" spans="2:14" ht="13.5"/>
    <row r="14" spans="2:14" ht="13.9" thickBot="1"/>
    <row r="15" spans="2:14" ht="18" thickBot="1">
      <c r="B15" s="243" t="s">
        <v>280</v>
      </c>
      <c r="C15" s="244"/>
      <c r="D15" s="244"/>
      <c r="E15" s="244" t="s">
        <v>3</v>
      </c>
      <c r="F15" s="244"/>
      <c r="G15" s="244"/>
      <c r="H15" s="244"/>
      <c r="I15" s="244"/>
      <c r="J15" s="249"/>
    </row>
    <row r="16" spans="2:14" ht="17.45" customHeight="1">
      <c r="B16" s="149" t="s">
        <v>298</v>
      </c>
      <c r="C16" s="150"/>
      <c r="D16" s="150"/>
      <c r="E16" s="239" t="s">
        <v>293</v>
      </c>
      <c r="F16" s="239"/>
      <c r="G16" s="239"/>
      <c r="H16" s="239"/>
      <c r="I16" s="239"/>
      <c r="J16" s="240"/>
    </row>
    <row r="17" spans="2:10" ht="17.25">
      <c r="B17" s="145" t="s">
        <v>451</v>
      </c>
      <c r="C17" s="150"/>
      <c r="D17" s="150"/>
      <c r="E17" s="239" t="s">
        <v>452</v>
      </c>
      <c r="F17" s="239"/>
      <c r="G17" s="239"/>
      <c r="H17" s="239"/>
      <c r="I17" s="239"/>
      <c r="J17" s="240"/>
    </row>
    <row r="18" spans="2:10" ht="17.25">
      <c r="B18" s="145" t="s">
        <v>306</v>
      </c>
      <c r="C18" s="150"/>
      <c r="D18" s="150"/>
      <c r="E18" s="239" t="s">
        <v>307</v>
      </c>
      <c r="F18" s="239"/>
      <c r="G18" s="239"/>
      <c r="H18" s="239"/>
      <c r="I18" s="239"/>
      <c r="J18" s="240"/>
    </row>
    <row r="19" spans="2:10" ht="17.649999999999999" thickBot="1">
      <c r="B19" s="175" t="s">
        <v>453</v>
      </c>
      <c r="C19" s="176"/>
      <c r="D19" s="176"/>
      <c r="E19" s="247" t="s">
        <v>454</v>
      </c>
      <c r="F19" s="247"/>
      <c r="G19" s="247"/>
      <c r="H19" s="247"/>
      <c r="I19" s="247"/>
      <c r="J19" s="248"/>
    </row>
    <row r="20" spans="2:10" ht="17.25">
      <c r="B20" s="146"/>
      <c r="C20" s="146"/>
      <c r="D20" s="146"/>
      <c r="E20" s="2"/>
      <c r="F20" s="2"/>
      <c r="G20" s="2"/>
      <c r="H20" s="2"/>
      <c r="I20" s="2"/>
      <c r="J20" s="2"/>
    </row>
    <row r="21" spans="2:10" ht="17.25">
      <c r="B21" s="146"/>
      <c r="C21" s="146"/>
      <c r="D21" s="146"/>
      <c r="E21" s="2"/>
      <c r="F21" s="2"/>
      <c r="G21" s="2"/>
      <c r="H21" s="2"/>
      <c r="I21" s="2"/>
      <c r="J21" s="2"/>
    </row>
    <row r="22" spans="2:10" ht="17.25">
      <c r="B22" s="146"/>
      <c r="C22" s="146"/>
      <c r="D22" s="146"/>
      <c r="E22" s="2"/>
      <c r="F22" s="2"/>
      <c r="G22" s="2"/>
      <c r="H22" s="2"/>
      <c r="I22" s="2"/>
      <c r="J22" s="2"/>
    </row>
    <row r="23" spans="2:10" ht="17.25">
      <c r="B23" s="146"/>
      <c r="C23" s="146"/>
      <c r="D23" s="146"/>
      <c r="E23" s="2"/>
      <c r="F23" s="2"/>
      <c r="G23" s="2"/>
      <c r="H23" s="2"/>
      <c r="I23" s="2"/>
      <c r="J23" s="2"/>
    </row>
    <row r="24" spans="2:10" ht="17.25">
      <c r="B24" s="146"/>
      <c r="C24" s="146"/>
      <c r="D24" s="146"/>
      <c r="E24" s="2"/>
      <c r="F24" s="2"/>
      <c r="G24" s="2"/>
      <c r="H24" s="2"/>
      <c r="I24" s="2"/>
      <c r="J24" s="2"/>
    </row>
    <row r="25" spans="2:10" ht="17.25">
      <c r="B25" s="146"/>
      <c r="C25" s="146"/>
      <c r="D25" s="146"/>
      <c r="E25" s="2"/>
      <c r="F25" s="2"/>
      <c r="G25" s="2"/>
      <c r="H25" s="2"/>
      <c r="I25" s="2"/>
      <c r="J25" s="2"/>
    </row>
    <row r="26" spans="2:10" ht="17.25">
      <c r="B26" s="146"/>
      <c r="C26" s="146"/>
      <c r="D26" s="146"/>
      <c r="E26" s="2"/>
      <c r="F26" s="2"/>
      <c r="G26" s="2"/>
      <c r="H26" s="2"/>
      <c r="I26" s="2"/>
      <c r="J26" s="2"/>
    </row>
    <row r="27" spans="2:10" ht="17.25">
      <c r="B27" s="146"/>
      <c r="C27" s="146"/>
      <c r="D27" s="146"/>
      <c r="E27" s="2"/>
      <c r="F27" s="2"/>
      <c r="G27" s="2"/>
      <c r="H27" s="2"/>
      <c r="I27" s="2"/>
      <c r="J27" s="2"/>
    </row>
    <row r="28" spans="2:10" ht="17.25">
      <c r="B28" s="146"/>
      <c r="C28" s="146"/>
      <c r="D28" s="146"/>
      <c r="E28" s="2"/>
      <c r="F28" s="2"/>
      <c r="G28" s="2"/>
      <c r="H28" s="2"/>
      <c r="I28" s="2"/>
      <c r="J28" s="2"/>
    </row>
    <row r="29" spans="2:10" ht="17.25">
      <c r="B29" s="146"/>
      <c r="C29" s="146"/>
      <c r="D29" s="146"/>
      <c r="E29" s="2"/>
      <c r="F29" s="2"/>
      <c r="G29" s="2"/>
      <c r="H29" s="2"/>
      <c r="I29" s="2"/>
      <c r="J29" s="2"/>
    </row>
    <row r="30" spans="2:10" ht="17.25">
      <c r="B30" s="232"/>
      <c r="C30" s="232"/>
      <c r="D30" s="232"/>
      <c r="E30" s="239"/>
      <c r="F30" s="239"/>
      <c r="G30" s="239"/>
      <c r="H30" s="239"/>
      <c r="I30" s="239"/>
      <c r="J30" s="239"/>
    </row>
    <row r="31" spans="2:10" ht="13.5">
      <c r="B31" s="148"/>
    </row>
    <row r="32" spans="2:10" ht="17.25">
      <c r="B32" s="2"/>
      <c r="C32" s="16"/>
    </row>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sheetData>
  <mergeCells count="8">
    <mergeCell ref="B30:D30"/>
    <mergeCell ref="E30:J30"/>
    <mergeCell ref="B15:D15"/>
    <mergeCell ref="E15:J15"/>
    <mergeCell ref="E16:J16"/>
    <mergeCell ref="E17:J17"/>
    <mergeCell ref="E18:J18"/>
    <mergeCell ref="E19:J19"/>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
    <Synchronization>Asynchronous</Synchronization>
    <Type>10001</Type>
    <SequenceNumber>1001</SequenceNumber>
    <Url/>
    <Assembly>Mercer.SP.CacheHelperJob, Version=1.0.0.0, Culture=neutral, PublicKeyToken=141eb83565a16d15</Assembly>
    <Class>Mercer.SP.CacheHelperJob.CYCUEventReceiver.ItemContentTypeEventReceiver</Class>
    <Data/>
    <Filter/>
  </Receiver>
  <Receiver>
    <Name/>
    <Synchronization>Asynchronous</Synchronization>
    <Type>10002</Type>
    <SequenceNumber>1002</SequenceNumber>
    <Url/>
    <Assembly>Mercer.SP.CacheHelperJob, Version=1.0.0.0, Culture=neutral, PublicKeyToken=141eb83565a16d15</Assembly>
    <Class>Mercer.SP.CacheHelperJob.CYCUEventReceiver.ItemContentTypeEventReceiver</Class>
    <Data/>
    <Filter/>
  </Receiver>
  <Receiver>
    <Name/>
    <Synchronization>Synchronous</Synchronization>
    <Type>3</Type>
    <SequenceNumber>1003</SequenceNumber>
    <Url/>
    <Assembly>Mercer.SP.CacheHelperJob, Version=1.0.0.0, Culture=neutral, PublicKeyToken=141eb83565a16d15</Assembly>
    <Class>Mercer.SP.CacheHelperJob.CYCUEventReceiver.ItemContentTypeEventReceiver</Class>
    <Data/>
    <Filter/>
  </Receiver>
</spe:Receivers>
</file>

<file path=customXml/item2.xml><?xml version="1.0" encoding="utf-8"?>
<ct:contentTypeSchema xmlns:ct="http://schemas.microsoft.com/office/2006/metadata/contentType" xmlns:ma="http://schemas.microsoft.com/office/2006/metadata/properties/metaAttributes" ct:_="" ma:_="" ma:contentTypeName="Career Document" ma:contentTypeID="0x010100EBE3A391EF4F744395BBA6A103F895DB0900996117903792D54E96FC711211AF6862" ma:contentTypeVersion="93" ma:contentTypeDescription="Career HVC Document" ma:contentTypeScope="" ma:versionID="eae3292fbde21b8e5a1cbf6d0493f492">
  <xsd:schema xmlns:xsd="http://www.w3.org/2001/XMLSchema" xmlns:xs="http://www.w3.org/2001/XMLSchema" xmlns:p="http://schemas.microsoft.com/office/2006/metadata/properties" xmlns:ns1="http://schemas.microsoft.com/sharepoint/v3" xmlns:ns2="http://schemas.microsoft.com/sharepoint/v3/fields" xmlns:ns3="8d28a039-4b9d-4dfe-9092-eac57b8133fb" xmlns:ns4="bdb923d3-2dae-4f59-a8f7-ec97bb8a3e3e" xmlns:ns5="c3ab07d4-6f6c-474a-8899-85c49e0a7574" xmlns:ns6="df0a2331-333b-43a4-85b1-b6cf6f52290e" xmlns:ns7="http://schemas.microsoft.com/sharepoint/v4" targetNamespace="http://schemas.microsoft.com/office/2006/metadata/properties" ma:root="true" ma:fieldsID="6a5c12a915308401ae74166d18e0bd4b" ns1:_="" ns2:_="" ns3:_="" ns4:_="" ns5:_="" ns6:_="" ns7:_="">
    <xsd:import namespace="http://schemas.microsoft.com/sharepoint/v3"/>
    <xsd:import namespace="http://schemas.microsoft.com/sharepoint/v3/fields"/>
    <xsd:import namespace="8d28a039-4b9d-4dfe-9092-eac57b8133fb"/>
    <xsd:import namespace="bdb923d3-2dae-4f59-a8f7-ec97bb8a3e3e"/>
    <xsd:import namespace="c3ab07d4-6f6c-474a-8899-85c49e0a7574"/>
    <xsd:import namespace="df0a2331-333b-43a4-85b1-b6cf6f52290e"/>
    <xsd:import namespace="http://schemas.microsoft.com/sharepoint/v4"/>
    <xsd:element name="properties">
      <xsd:complexType>
        <xsd:sequence>
          <xsd:element name="documentManagement">
            <xsd:complexType>
              <xsd:all>
                <xsd:element ref="ns2:Date" minOccurs="0"/>
                <xsd:element ref="ns3:Contact" minOccurs="0"/>
                <xsd:element ref="ns1:ShortDescription" minOccurs="0"/>
                <xsd:element ref="ns1:LongDescription" minOccurs="0"/>
                <xsd:element ref="ns6:Year" minOccurs="0"/>
                <xsd:element ref="ns6:Assessment_x0020__x0026__x0020_Development_x0020_Offering" minOccurs="0"/>
                <xsd:element ref="ns6:Change_x0020_Management_x0020_Offering" minOccurs="0"/>
                <xsd:element ref="ns6:Digital_x0020_Implmentation_x0020_Offering" minOccurs="0"/>
                <xsd:element ref="ns6:Employee_x0020_Communication_x0020_Offering" minOccurs="0"/>
                <xsd:element ref="ns6:Employee_x0020_Rewards_x0020_Offering" minOccurs="0"/>
                <xsd:element ref="ns6:Employee_x0020_Voice_x002f_Engagement_x0020_Offering" minOccurs="0"/>
                <xsd:element ref="ns6:Executive_x0020_Rewards_x0020_Offering" minOccurs="0"/>
                <xsd:element ref="ns6:HR_x0020_Transformation_x0020_Offering" minOccurs="0"/>
                <xsd:element ref="ns6:Mobility_x0020_Offering" minOccurs="0"/>
                <xsd:element ref="ns6:Workforce_x0020__x002d__x0020_Job_x0020_Achitecture_x0020_Offering" minOccurs="0"/>
                <xsd:element ref="ns6:Strategy_x0020__x0026__x0020_Workforce_x0020_Analytics_x0020_Offering" minOccurs="0"/>
                <xsd:element ref="ns6:Talent_x0020_Mgmt_x0020__x0026__x0020_Careers_x0020_Offering" minOccurs="0"/>
                <xsd:element ref="ns6:Methodology" minOccurs="0"/>
                <xsd:element ref="ns6:Topic0" minOccurs="0"/>
                <xsd:element ref="ns6:SubTopic" minOccurs="0"/>
                <xsd:element ref="ns4:KeyContent" minOccurs="0"/>
                <xsd:element ref="ns6:Archive_x003f_" minOccurs="0"/>
                <xsd:element ref="ns6:Talent_x0020_KM_x0020_Comments" minOccurs="0"/>
                <xsd:element ref="ns6:HR_x0020_Transformation" minOccurs="0"/>
                <xsd:element ref="ns6:LOP" minOccurs="0"/>
                <xsd:element ref="ns6:WAP" minOccurs="0"/>
                <xsd:element ref="ns6:Talent_x0020_Area" minOccurs="0"/>
                <xsd:element ref="ns6:_x002d__x002d__x002d__x003e_" minOccurs="0"/>
                <xsd:element ref="ns6:_x002d__x002d__x003e_" minOccurs="0"/>
                <xsd:element ref="ns6:_x002d__x003e_" minOccurs="0"/>
                <xsd:element ref="ns6:_x002a_" minOccurs="0"/>
                <xsd:element ref="ns6:_x003e__x003e_" minOccurs="0"/>
                <xsd:element ref="ns6:Offering" minOccurs="0"/>
                <xsd:element ref="ns6:Archived_x0020_Site_x0020_Destinations" minOccurs="0"/>
                <xsd:element ref="ns1:URL" minOccurs="0"/>
                <xsd:element ref="ns1:AverageRating" minOccurs="0"/>
                <xsd:element ref="ns1:RatingCount" minOccurs="0"/>
                <xsd:element ref="ns1:Audience" minOccurs="0"/>
                <xsd:element ref="ns1:LikesCount" minOccurs="0"/>
                <xsd:element ref="ns4:ib8dc5bb498b46b6a6e1be866c5d9a77" minOccurs="0"/>
                <xsd:element ref="ns4:i89941779df944b7933201f69616fe79" minOccurs="0"/>
                <xsd:element ref="ns4:n5c12090629b43ed950c8a8ea8024a01" minOccurs="0"/>
                <xsd:element ref="ns7:IconOverlay" minOccurs="0"/>
                <xsd:element ref="ns5:TaxCatchAllLabel" minOccurs="0"/>
                <xsd:element ref="ns4:mf08c2ce67b946efbd8cf897405ea695" minOccurs="0"/>
                <xsd:element ref="ns4:l7a6cebbe25145b0815d49b4cefd2c02" minOccurs="0"/>
                <xsd:element ref="ns4:ee4955ea5f46493ea090289eeb898885" minOccurs="0"/>
                <xsd:element ref="ns1:RatedBy" minOccurs="0"/>
                <xsd:element ref="ns1:Ratings" minOccurs="0"/>
                <xsd:element ref="ns1:LikedBy" minOccurs="0"/>
                <xsd:element ref="ns5:TaxCatchAll" minOccurs="0"/>
                <xsd:element ref="ns4:_dlc_DocId" minOccurs="0"/>
                <xsd:element ref="ns4:_dlc_DocIdPersistId" minOccurs="0"/>
                <xsd:element ref="ns4:_dlc_DocIdUrl" minOccurs="0"/>
                <xsd:element ref="ns4:a378d28b95fa4be593f4059f8302acce" minOccurs="0"/>
                <xsd:element ref="ns6:b635e4dd7f894467b6d929611bb76ed0" minOccurs="0"/>
                <xsd:element ref="ns6:eb314fc0b7864b21b257bc1e8f7743a3" minOccurs="0"/>
                <xsd:element ref="ns4:h755275ce3fa494097da4c3fd648a298" minOccurs="0"/>
                <xsd:element ref="ns6:SortOrder" minOccurs="0"/>
                <xsd:element ref="ns4:b548d78c18aa410aaeb9e52c75e08cb4" minOccurs="0"/>
                <xsd:element ref="ns4:b3d886580aed4f8f9310c57d6c0f6252" minOccurs="0"/>
                <xsd:element ref="ns5:m37c88395a1e44c7be99d6343ff0ca58" minOccurs="0"/>
                <xsd:element ref="ns6:Products_x0020_Offering" minOccurs="0"/>
                <xsd:element ref="ns6:Org_x0020_Design_x0020__x002d__x0020_Effectiveness_x0020_Offer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ShortDescription" ma:index="5" nillable="true" ma:displayName="Short Description" ma:internalName="ShortDescription" ma:readOnly="false">
      <xsd:simpleType>
        <xsd:restriction base="dms:Note"/>
      </xsd:simpleType>
    </xsd:element>
    <xsd:element name="LongDescription" ma:index="6" nillable="true" ma:displayName="Long Description" ma:internalName="LongDescription">
      <xsd:simpleType>
        <xsd:restriction base="dms:Note">
          <xsd:maxLength value="255"/>
        </xsd:restriction>
      </xsd:simpleType>
    </xsd:element>
    <xsd:element name="URL" ma:index="49" nillable="true" ma:displayName="URL" ma:internalName="URL">
      <xsd:complexType>
        <xsd:complexContent>
          <xsd:extension base="dms:URL">
            <xsd:sequence>
              <xsd:element name="Url" type="dms:ValidUrl" minOccurs="0" nillable="true"/>
              <xsd:element name="Description" type="xsd:string" nillable="true"/>
            </xsd:sequence>
          </xsd:extension>
        </xsd:complexContent>
      </xsd:complexType>
    </xsd:element>
    <xsd:element name="AverageRating" ma:index="50" nillable="true" ma:displayName="Rating (0-5)" ma:decimals="2" ma:description="Average value of all the ratings that have been submitted" ma:internalName="AverageRating" ma:readOnly="true">
      <xsd:simpleType>
        <xsd:restriction base="dms:Number"/>
      </xsd:simpleType>
    </xsd:element>
    <xsd:element name="RatingCount" ma:index="51" nillable="true" ma:displayName="Number of Ratings" ma:decimals="0" ma:description="Number of ratings submitted" ma:internalName="RatingCount" ma:readOnly="true">
      <xsd:simpleType>
        <xsd:restriction base="dms:Number"/>
      </xsd:simpleType>
    </xsd:element>
    <xsd:element name="Audience" ma:index="52" nillable="true" ma:displayName="Target Audiences" ma:description="Target Audiences is a site column created by the Publishing feature. It is used to specify audiences to which this page will be targeted." ma:internalName="Target_x0020_Audiences">
      <xsd:simpleType>
        <xsd:restriction base="dms:Unknown"/>
      </xsd:simpleType>
    </xsd:element>
    <xsd:element name="LikesCount" ma:index="53" nillable="true" ma:displayName="Number of Likes" ma:internalName="LikesCount">
      <xsd:simpleType>
        <xsd:restriction base="dms:Unknown"/>
      </xsd:simpleType>
    </xsd:element>
    <xsd:element name="RatedBy" ma:index="64"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65" nillable="true" ma:displayName="User ratings" ma:description="User ratings for the item" ma:hidden="true" ma:internalName="Ratings">
      <xsd:simpleType>
        <xsd:restriction base="dms:Note"/>
      </xsd:simpleType>
    </xsd:element>
    <xsd:element name="LikedBy" ma:index="67"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ate" ma:index="2"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d28a039-4b9d-4dfe-9092-eac57b8133fb" elementFormDefault="qualified">
    <xsd:import namespace="http://schemas.microsoft.com/office/2006/documentManagement/types"/>
    <xsd:import namespace="http://schemas.microsoft.com/office/infopath/2007/PartnerControls"/>
    <xsd:element name="Contact" ma:index="3" nillable="true" ma:displayName="Contact" ma:list="UserInfo" ma:SharePointGroup="0" ma:internalName="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b923d3-2dae-4f59-a8f7-ec97bb8a3e3e" elementFormDefault="qualified">
    <xsd:import namespace="http://schemas.microsoft.com/office/2006/documentManagement/types"/>
    <xsd:import namespace="http://schemas.microsoft.com/office/infopath/2007/PartnerControls"/>
    <xsd:element name="KeyContent" ma:index="33" nillable="true" ma:displayName="KeyContent" ma:default="0" ma:internalName="KeyContent">
      <xsd:simpleType>
        <xsd:restriction base="dms:Boolean"/>
      </xsd:simpleType>
    </xsd:element>
    <xsd:element name="ib8dc5bb498b46b6a6e1be866c5d9a77" ma:index="54" ma:taxonomy="true" ma:internalName="ib8dc5bb498b46b6a6e1be866c5d9a77" ma:taxonomyFieldName="Disclaimer" ma:displayName="Disclaimer" ma:readOnly="false" ma:default="" ma:fieldId="{2b8dc5bb-498b-46b6-a6e1-be866c5d9a77}" ma:sspId="b8e5891e-1b63-4f34-8594-9aa9ebb0afca" ma:termSetId="ef9ee642-04e6-486c-ad43-fed2a55c9cfa" ma:anchorId="00000000-0000-0000-0000-000000000000" ma:open="false" ma:isKeyword="false">
      <xsd:complexType>
        <xsd:sequence>
          <xsd:element ref="pc:Terms" minOccurs="0" maxOccurs="1"/>
        </xsd:sequence>
      </xsd:complexType>
    </xsd:element>
    <xsd:element name="i89941779df944b7933201f69616fe79" ma:index="56" nillable="true" ma:taxonomy="true" ma:internalName="i89941779df944b7933201f69616fe79" ma:taxonomyFieldName="Industries" ma:displayName="Industries" ma:fieldId="{28994177-9df9-44b7-9332-01f69616fe79}" ma:taxonomyMulti="true" ma:sspId="b8e5891e-1b63-4f34-8594-9aa9ebb0afca" ma:termSetId="3cd3f73a-1d41-4d10-b55c-d94c0733d017" ma:anchorId="00000000-0000-0000-0000-000000000000" ma:open="false" ma:isKeyword="false">
      <xsd:complexType>
        <xsd:sequence>
          <xsd:element ref="pc:Terms" minOccurs="0" maxOccurs="1"/>
        </xsd:sequence>
      </xsd:complexType>
    </xsd:element>
    <xsd:element name="n5c12090629b43ed950c8a8ea8024a01" ma:index="57" nillable="true" ma:taxonomy="true" ma:internalName="n5c12090629b43ed950c8a8ea8024a01" ma:taxonomyFieldName="Countries" ma:displayName="Countries" ma:fieldId="{75c12090-629b-43ed-950c-8a8ea8024a01}" ma:taxonomyMulti="true" ma:sspId="b8e5891e-1b63-4f34-8594-9aa9ebb0afca" ma:termSetId="2d7c654e-bf2c-42c9-b0dd-599bfd722496" ma:anchorId="00000000-0000-0000-0000-000000000000" ma:open="false" ma:isKeyword="false">
      <xsd:complexType>
        <xsd:sequence>
          <xsd:element ref="pc:Terms" minOccurs="0" maxOccurs="1"/>
        </xsd:sequence>
      </xsd:complexType>
    </xsd:element>
    <xsd:element name="mf08c2ce67b946efbd8cf897405ea695" ma:index="60" nillable="true" ma:taxonomy="true" ma:internalName="mf08c2ce67b946efbd8cf897405ea695" ma:taxonomyFieldName="SolutionPortfolios" ma:displayName="Solutions Portfolio" ma:default="" ma:fieldId="{6f08c2ce-67b9-46ef-bd8c-f897405ea695}" ma:taxonomyMulti="true" ma:sspId="b8e5891e-1b63-4f34-8594-9aa9ebb0afca" ma:termSetId="02a35dfd-557d-4ede-9548-05ac942b4f25" ma:anchorId="00000000-0000-0000-0000-000000000000" ma:open="false" ma:isKeyword="false">
      <xsd:complexType>
        <xsd:sequence>
          <xsd:element ref="pc:Terms" minOccurs="0" maxOccurs="1"/>
        </xsd:sequence>
      </xsd:complexType>
    </xsd:element>
    <xsd:element name="l7a6cebbe25145b0815d49b4cefd2c02" ma:index="61" nillable="true" ma:taxonomy="true" ma:internalName="l7a6cebbe25145b0815d49b4cefd2c02" ma:taxonomyFieldName="StandardDestinations" ma:displayName="Standard Destinations" ma:default="" ma:fieldId="{57a6cebb-e251-45b0-815d-49b4cefd2c02}" ma:taxonomyMulti="true" ma:sspId="b8e5891e-1b63-4f34-8594-9aa9ebb0afca" ma:termSetId="f848bcbd-afca-45ab-bedd-bf923112818d" ma:anchorId="00000000-0000-0000-0000-000000000000" ma:open="false" ma:isKeyword="false">
      <xsd:complexType>
        <xsd:sequence>
          <xsd:element ref="pc:Terms" minOccurs="0" maxOccurs="1"/>
        </xsd:sequence>
      </xsd:complexType>
    </xsd:element>
    <xsd:element name="ee4955ea5f46493ea090289eeb898885" ma:index="62" nillable="true" ma:taxonomy="true" ma:internalName="ee4955ea5f46493ea090289eeb898885" ma:taxonomyFieldName="SiteDestinations" ma:displayName="Site Destinations" ma:default="" ma:fieldId="{ee4955ea-5f46-493e-a090-289eeb898885}" ma:taxonomyMulti="true" ma:sspId="b8e5891e-1b63-4f34-8594-9aa9ebb0afca" ma:termSetId="761b7f4d-50bb-4daf-b931-6caad85c53e7" ma:anchorId="00000000-0000-0000-0000-000000000000" ma:open="true" ma:isKeyword="false">
      <xsd:complexType>
        <xsd:sequence>
          <xsd:element ref="pc:Terms" minOccurs="0" maxOccurs="1"/>
        </xsd:sequence>
      </xsd:complexType>
    </xsd:element>
    <xsd:element name="_dlc_DocId" ma:index="69" nillable="true" ma:displayName="Document ID Value" ma:description="The value of the document ID assigned to this item." ma:internalName="_dlc_DocId" ma:readOnly="true">
      <xsd:simpleType>
        <xsd:restriction base="dms:Text"/>
      </xsd:simpleType>
    </xsd:element>
    <xsd:element name="_dlc_DocIdPersistId" ma:index="70" nillable="true" ma:displayName="Persist ID" ma:description="Keep ID on add." ma:hidden="true" ma:internalName="_dlc_DocIdPersistId" ma:readOnly="true">
      <xsd:simpleType>
        <xsd:restriction base="dms:Boolean"/>
      </xsd:simpleType>
    </xsd:element>
    <xsd:element name="_dlc_DocIdUrl" ma:index="7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a378d28b95fa4be593f4059f8302acce" ma:index="73" nillable="true" ma:taxonomy="true" ma:internalName="a378d28b95fa4be593f4059f8302acce" ma:taxonomyFieldName="LOBs" ma:displayName="LOBs" ma:default="" ma:fieldId="{a378d28b-95fa-4be5-93f4-059f8302acce}" ma:taxonomyMulti="true" ma:sspId="b8e5891e-1b63-4f34-8594-9aa9ebb0afca" ma:termSetId="1feee019-11c7-4248-bacb-c7989fd9721e" ma:anchorId="00000000-0000-0000-0000-000000000000" ma:open="false" ma:isKeyword="false">
      <xsd:complexType>
        <xsd:sequence>
          <xsd:element ref="pc:Terms" minOccurs="0" maxOccurs="1"/>
        </xsd:sequence>
      </xsd:complexType>
    </xsd:element>
    <xsd:element name="h755275ce3fa494097da4c3fd648a298" ma:index="77" ma:taxonomy="true" ma:internalName="h755275ce3fa494097da4c3fd648a298" ma:taxonomyFieldName="AssetType" ma:displayName="Asset Type" ma:fieldId="{1755275c-e3fa-4940-97da-4c3fd648a298}" ma:sspId="b8e5891e-1b63-4f34-8594-9aa9ebb0afca" ma:termSetId="982578d9-eb92-4de7-b54b-d4e2afe3226e" ma:anchorId="00000000-0000-0000-0000-000000000000" ma:open="false" ma:isKeyword="false">
      <xsd:complexType>
        <xsd:sequence>
          <xsd:element ref="pc:Terms" minOccurs="0" maxOccurs="1"/>
        </xsd:sequence>
      </xsd:complexType>
    </xsd:element>
    <xsd:element name="b548d78c18aa410aaeb9e52c75e08cb4" ma:index="80" nillable="true" ma:taxonomy="true" ma:internalName="b548d78c18aa410aaeb9e52c75e08cb4" ma:taxonomyFieldName="Languages" ma:displayName="Languages" ma:default="" ma:fieldId="{b548d78c-18aa-410a-aeb9-e52c75e08cb4}" ma:taxonomyMulti="true" ma:sspId="b8e5891e-1b63-4f34-8594-9aa9ebb0afca" ma:termSetId="182cf23c-3acc-4271-9f7a-0d5b1bf3bfee" ma:anchorId="00000000-0000-0000-0000-000000000000" ma:open="false" ma:isKeyword="false">
      <xsd:complexType>
        <xsd:sequence>
          <xsd:element ref="pc:Terms" minOccurs="0" maxOccurs="1"/>
        </xsd:sequence>
      </xsd:complexType>
    </xsd:element>
    <xsd:element name="b3d886580aed4f8f9310c57d6c0f6252" ma:index="81" ma:taxonomy="true" ma:internalName="b3d886580aed4f8f9310c57d6c0f6252" ma:taxonomyFieldName="Activity" ma:displayName="Activity" ma:fieldId="{b3d88658-0aed-4f8f-9310-c57d6c0f6252}" ma:sspId="b8e5891e-1b63-4f34-8594-9aa9ebb0afca" ma:termSetId="5bcece0e-854a-4d3d-a5e0-1323357c482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3ab07d4-6f6c-474a-8899-85c49e0a7574" elementFormDefault="qualified">
    <xsd:import namespace="http://schemas.microsoft.com/office/2006/documentManagement/types"/>
    <xsd:import namespace="http://schemas.microsoft.com/office/infopath/2007/PartnerControls"/>
    <xsd:element name="TaxCatchAllLabel" ma:index="59" nillable="true" ma:displayName="Taxonomy Catch All Column1" ma:description="" ma:hidden="true" ma:list="{6d56df21-694f-459c-9485-84c397d7b9b4}" ma:internalName="TaxCatchAllLabel" ma:readOnly="true" ma:showField="CatchAllDataLabel"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TaxCatchAll" ma:index="68" nillable="true" ma:displayName="Taxonomy Catch All Column" ma:description="" ma:hidden="true" ma:list="{6d56df21-694f-459c-9485-84c397d7b9b4}" ma:internalName="TaxCatchAll" ma:showField="CatchAllData"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m37c88395a1e44c7be99d6343ff0ca58" ma:index="82" nillable="true" ma:taxonomy="true" ma:internalName="m37c88395a1e44c7be99d6343ff0ca58" ma:taxonomyFieldName="Region" ma:displayName="Region" ma:default="" ma:fieldId="{637c8839-5a1e-44c7-be99-d6343ff0ca58}" ma:taxonomyMulti="true" ma:sspId="b8e5891e-1b63-4f34-8594-9aa9ebb0afca" ma:termSetId="08f6f53a-5f6a-4823-9301-8de976a30dd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f0a2331-333b-43a4-85b1-b6cf6f52290e" elementFormDefault="qualified">
    <xsd:import namespace="http://schemas.microsoft.com/office/2006/documentManagement/types"/>
    <xsd:import namespace="http://schemas.microsoft.com/office/infopath/2007/PartnerControls"/>
    <xsd:element name="Year" ma:index="17" nillable="true" ma:displayName="Year" ma:internalName="Year">
      <xsd:simpleType>
        <xsd:restriction base="dms:Text">
          <xsd:maxLength value="255"/>
        </xsd:restriction>
      </xsd:simpleType>
    </xsd:element>
    <xsd:element name="Assessment_x0020__x0026__x0020_Development_x0020_Offering" ma:index="18" nillable="true" ma:displayName="Talent Acquisition Assessment Development Offering" ma:description="Apply an offering tag for each related document within this solution area." ma:format="Dropdown" ma:internalName="Assessment_x0020__x0026__x0020_Development_x0020_Offering">
      <xsd:simpleType>
        <xsd:union memberTypes="dms:Text">
          <xsd:simpleType>
            <xsd:restriction base="dms:Choice">
              <xsd:enumeration value="Assessment and Development"/>
              <xsd:enumeration value="*General Information"/>
              <xsd:enumeration value="Leading for Success"/>
              <xsd:enumeration value="Global Leadership"/>
              <xsd:enumeration value="Mercer360"/>
              <xsd:enumeration value="Mercer Assessment of Potential (MAP)"/>
              <xsd:enumeration value="Mercer Match"/>
              <xsd:enumeration value="Strategic Partnering for HR"/>
              <xsd:enumeration value="Strategic Talent Management Workshop"/>
              <xsd:enumeration value="Talent Acquisition Strategy"/>
              <xsd:enumeration value="Virtual Assessment Center"/>
            </xsd:restriction>
          </xsd:simpleType>
        </xsd:union>
      </xsd:simpleType>
    </xsd:element>
    <xsd:element name="Change_x0020_Management_x0020_Offering" ma:index="19" nillable="true" ma:displayName="Change Management Offering" ma:description="Apply an offering tag for each related document within this solution area." ma:format="Dropdown" ma:internalName="Change_x0020_Management_x0020_Offering">
      <xsd:simpleType>
        <xsd:restriction base="dms:Choice">
          <xsd:enumeration value="About Change Management"/>
          <xsd:enumeration value="Benefits Branding/Campaings"/>
          <xsd:enumeration value="Digital Media"/>
          <xsd:enumeration value="Employee Value Proposition"/>
          <xsd:enumeration value="Mercer Belong"/>
          <xsd:enumeration value="Mercer Marketplace 365"/>
          <xsd:enumeration value="Open Enrollment"/>
          <xsd:enumeration value="Workday Communication"/>
        </xsd:restriction>
      </xsd:simpleType>
    </xsd:element>
    <xsd:element name="Digital_x0020_Implmentation_x0020_Offering" ma:index="20" nillable="true" ma:displayName="Technology Implementation Offering" ma:description="Apply an offering tag for each related document within this solution area." ma:format="Dropdown" ma:internalName="Digital_x0020_Implmentation_x0020_Offering">
      <xsd:simpleType>
        <xsd:union memberTypes="dms:Text">
          <xsd:simpleType>
            <xsd:restriction base="dms:Choice">
              <xsd:enumeration value="About Digital Implementation"/>
              <xsd:enumeration value="ServiceNow"/>
              <xsd:enumeration value="Workday General Services"/>
              <xsd:enumeration value="Workday - Implementation"/>
              <xsd:enumeration value="Workday - Post Production Services"/>
              <xsd:enumeration value="Workday - Optimization"/>
            </xsd:restriction>
          </xsd:simpleType>
        </xsd:union>
      </xsd:simpleType>
    </xsd:element>
    <xsd:element name="Employee_x0020_Communication_x0020_Offering" ma:index="21" nillable="true" ma:displayName="Employee Communication Offering" ma:description="Apply an offering tag for each related document within this solution area." ma:format="Dropdown" ma:internalName="Employee_x0020_Communication_x0020_Offering">
      <xsd:simpleType>
        <xsd:union memberTypes="dms:Text">
          <xsd:simpleType>
            <xsd:restriction base="dms:Choice">
              <xsd:enumeration value="About Employee Communication"/>
              <xsd:enumeration value="Benefits Branding/Campaigns"/>
              <xsd:enumeration value="Digital Media"/>
              <xsd:enumeration value="Employee Value Proposition"/>
              <xsd:enumeration value="Mercer Belong"/>
              <xsd:enumeration value="Mercer Marketplace 365"/>
              <xsd:enumeration value="Open Enrollment"/>
              <xsd:enumeration value="Workday Communication"/>
            </xsd:restriction>
          </xsd:simpleType>
        </xsd:union>
      </xsd:simpleType>
    </xsd:element>
    <xsd:element name="Employee_x0020_Rewards_x0020_Offering" ma:index="22" nillable="true" ma:displayName="Employee Rewards Offering" ma:description="Apply an offering tag for each related document within this solution area." ma:format="Dropdown" ma:internalName="Employee_x0020_Rewards_x0020_Offering">
      <xsd:simpleType>
        <xsd:restriction base="dms:Choice">
          <xsd:enumeration value="About Employee Rewards"/>
          <xsd:enumeration value="Adaptive Working"/>
          <xsd:enumeration value="Base Pay and Pay Structures Design"/>
          <xsd:enumeration value="Compensation Strategy"/>
          <xsd:enumeration value="Job Analysis &amp; Job Evaluation"/>
          <xsd:enumeration value="Total Rewards"/>
          <xsd:enumeration value="Variable Compensation"/>
          <xsd:enumeration value="Hourly Pay (US)"/>
          <xsd:enumeration value="Legislative &amp; Regulatory (US)"/>
          <xsd:enumeration value="PayStart (EMEA)"/>
          <xsd:enumeration value="MarketPricer"/>
          <xsd:enumeration value="Market Value Services (MVS)"/>
          <xsd:enumeration value="Mercer BenefitsMonitor Asia Pacific + EMEA"/>
          <xsd:enumeration value="Mercer WIN"/>
          <xsd:enumeration value="Mercer WIN Advanced | eIPE"/>
          <xsd:enumeration value="PayScale"/>
        </xsd:restriction>
      </xsd:simpleType>
    </xsd:element>
    <xsd:element name="Employee_x0020_Voice_x002f_Engagement_x0020_Offering" ma:index="23" nillable="true" ma:displayName="Employee Voice/Engagement Offering" ma:internalName="Employee_x0020_Voice_x002f_Engagement_x0020_Offering">
      <xsd:complexType>
        <xsd:complexContent>
          <xsd:extension base="dms:MultiChoice">
            <xsd:sequence>
              <xsd:element name="Value" maxOccurs="unbounded" minOccurs="0" nillable="true">
                <xsd:simpleType>
                  <xsd:restriction base="dms:Choice">
                    <xsd:enumeration value="Employee engagement custom survey"/>
                    <xsd:enumeration value="Employee lifecycle research"/>
                    <xsd:enumeration value="Engagement snapshot survey"/>
                    <xsd:enumeration value="Mercer | Sirota general info"/>
                    <xsd:enumeration value="Employee research platform"/>
                    <xsd:enumeration value="Remesh"/>
                    <xsd:enumeration value="The engaging leader"/>
                    <xsd:enumeration value="Thrive45 survey"/>
                  </xsd:restriction>
                </xsd:simpleType>
              </xsd:element>
            </xsd:sequence>
          </xsd:extension>
        </xsd:complexContent>
      </xsd:complexType>
    </xsd:element>
    <xsd:element name="Executive_x0020_Rewards_x0020_Offering" ma:index="24" nillable="true" ma:displayName="Executive Rewards Offering" ma:description="Apply an offering tag for each related document within this solution area." ma:format="Dropdown" ma:internalName="Executive_x0020_Rewards_x0020_Offering">
      <xsd:simpleType>
        <xsd:union memberTypes="dms:Text">
          <xsd:simpleType>
            <xsd:restriction base="dms:Choice">
              <xsd:enumeration value="*Executive Rewards"/>
              <xsd:enumeration value="Executive Rewards Advisory"/>
              <xsd:enumeration value="Executive Rewards Perspective"/>
              <xsd:enumeration value="Governance"/>
              <xsd:enumeration value="Incentive Plan Design and Performance Measurement"/>
              <xsd:enumeration value="M&amp;A Transaction Support"/>
              <xsd:enumeration value="Pay Ratio (US)"/>
              <xsd:enumeration value="Share Based Payment Analytics"/>
              <xsd:enumeration value="Business Standards for Executive Rewards Relationships (NA)"/>
              <xsd:enumeration value="EBeRT"/>
              <xsd:enumeration value="Equilar and ISS Reports"/>
              <xsd:enumeration value="ER Data &amp; Research"/>
              <xsd:enumeration value="Executive Rewards Perspective"/>
              <xsd:enumeration value="LTI Interpolation Tool"/>
              <xsd:enumeration value="NA Executive Rewards Expected Standards"/>
            </xsd:restriction>
          </xsd:simpleType>
        </xsd:union>
      </xsd:simpleType>
    </xsd:element>
    <xsd:element name="HR_x0020_Transformation_x0020_Offering" ma:index="25" nillable="true" ma:displayName="HR Transformation Offering" ma:description="Complete field w/ the Knowledge Area/Solution Offering name" ma:format="Dropdown" ma:internalName="HR_x0020_Transformation_x0020_Offering">
      <xsd:simpleType>
        <xsd:union memberTypes="dms:Text">
          <xsd:simpleType>
            <xsd:restriction base="dms:Choice">
              <xsd:enumeration value="Candidate Care"/>
              <xsd:enumeration value="HR Capability Builder"/>
              <xsd:enumeration value="HR Diagnostic"/>
              <xsd:enumeration value="HR Governance"/>
              <xsd:enumeration value="HR M&amp;A Divestiture Services"/>
              <xsd:enumeration value="HR Operating Model"/>
              <xsd:enumeration value="HR Organization Design and Implementation"/>
              <xsd:enumeration value="HR Process Mapping"/>
              <xsd:enumeration value="HR Shared Services"/>
              <xsd:enumeration value="HR Technology Assessment &amp; Vendor Selection"/>
              <xsd:enumeration value="HR Technology Strategy"/>
              <xsd:enumeration value="About HR Transformation"/>
              <xsd:enumeration value="Operations Scanner"/>
              <xsd:enumeration value="Mercer Workforce Transition Services"/>
            </xsd:restriction>
          </xsd:simpleType>
        </xsd:union>
      </xsd:simpleType>
    </xsd:element>
    <xsd:element name="Mobility_x0020_Offering" ma:index="26" nillable="true" ma:displayName="Mobility Offering" ma:description="Apply an offering tag for each related document within this solution area." ma:format="Dropdown" ma:internalName="Mobility_x0020_Offering">
      <xsd:simpleType>
        <xsd:restriction base="dms:Choice">
          <xsd:enumeration value="*General Information"/>
          <xsd:enumeration value="About Mobility"/>
          <xsd:enumeration value="Airfare Reports"/>
          <xsd:enumeration value="Alternative International Assignment Survey"/>
          <xsd:enumeration value="AssignmentPro"/>
          <xsd:enumeration value="AssignmentPro CORE"/>
          <xsd:enumeration value="Balance Sheet / Cost Projection Calculators"/>
          <xsd:enumeration value="Benefits Survey for International Mobile Employees"/>
          <xsd:enumeration value="Compensation Localizer"/>
          <xsd:enumeration value="Cost of Living"/>
          <xsd:enumeration value="Cost Projections"/>
          <xsd:enumeration value="Culture Passport On The Go"/>
          <xsd:enumeration value="CultureWizardPassport"/>
          <xsd:enumeration value="Currency Protection Calculator"/>
          <xsd:enumeration value="Domestic Relocation"/>
          <xsd:enumeration value="Global HR Monitor"/>
          <xsd:enumeration value="Global Mobility Policy Benchmarking"/>
          <xsd:enumeration value="Home Country Profile"/>
          <xsd:enumeration value="ICS Website"/>
          <xsd:enumeration value="Local Plus"/>
          <xsd:enumeration value="Location Evaluation Report"/>
          <xsd:enumeration value="Location-specific Local Plus Surveys"/>
          <xsd:enumeration value="Location-specific Mobility Policies &amp; Practices Surveys"/>
          <xsd:enumeration value="Mercer ORC Goods and Services Spendable Norms and Tax"/>
          <xsd:enumeration value="MercerPassport®"/>
          <xsd:enumeration value="Mobility Benefits Services"/>
          <xsd:enumeration value="Mobility Exchange Platform"/>
          <xsd:enumeration value="Mercer Mobility Management Platform"/>
          <xsd:enumeration value="Mobility Starter Kit"/>
          <xsd:enumeration value="Mobilize Housing"/>
          <xsd:enumeration value="Net Income Breakdown Tables"/>
          <xsd:enumeration value="Organization/Transformation, Metrics and Analytics and Flexible Benefits 2019 surveys"/>
          <xsd:enumeration value="Outsourcing Support"/>
          <xsd:enumeration value="Per Diem Allowances"/>
          <xsd:enumeration value="Personal Income Tax"/>
          <xsd:enumeration value="Quality of Living"/>
          <xsd:enumeration value="Rotator Assignments Survey"/>
          <xsd:enumeration value="Snapshot Surveys"/>
          <xsd:enumeration value="Spendable Income and Housing Norms"/>
          <xsd:enumeration value="Transportation Allowance"/>
          <xsd:enumeration value="Worldwide Survey of International Assignment Policies and Practices (WIAPP)"/>
        </xsd:restriction>
      </xsd:simpleType>
    </xsd:element>
    <xsd:element name="Workforce_x0020__x002d__x0020_Job_x0020_Achitecture_x0020_Offering" ma:index="27" nillable="true" ma:displayName="Job &amp; Career Architecture Offering" ma:description="Apply an offering tag for each related document within this solution area." ma:format="Dropdown" ma:internalName="Workforce_x0020__x002d__x0020_Job_x0020_Achitecture_x0020_Offering">
      <xsd:simpleType>
        <xsd:restriction base="dms:Choice">
          <xsd:enumeration value="Job/Workforce Architecture"/>
          <xsd:enumeration value="Career Frameworks"/>
        </xsd:restriction>
      </xsd:simpleType>
    </xsd:element>
    <xsd:element name="Strategy_x0020__x0026__x0020_Workforce_x0020_Analytics_x0020_Offering" ma:index="28" nillable="true" ma:displayName="Workforce Strategy &amp; Analytics Offering" ma:description="Apply an offering tag for each related document within this solution area." ma:format="Dropdown" ma:internalName="Strategy_x0020__x0026__x0020_Workforce_x0020_Analytics_x0020_Offering">
      <xsd:simpleType>
        <xsd:union memberTypes="dms:Text">
          <xsd:simpleType>
            <xsd:restriction base="dms:Choice">
              <xsd:enumeration value="About Workforce Strategy &amp; Analytics"/>
              <xsd:enumeration value="Business Impact Modeling (BIM)"/>
              <xsd:enumeration value="Diversity &amp; Inclusion Analytics"/>
              <xsd:enumeration value="External Labor Market Analysis (ELM)"/>
              <xsd:enumeration value="HC Scan"/>
              <xsd:enumeration value="Internal Labor Market Analysis (ILM)"/>
              <xsd:enumeration value="Internal Labor Market Analysis (ILM) Apps"/>
              <xsd:enumeration value="Mercer | Vemo"/>
              <xsd:enumeration value="Mercer Workforce Monitor"/>
              <xsd:enumeration value="Pay Equity"/>
              <xsd:enumeration value="Strategic Workforce Planning"/>
              <xsd:enumeration value="Workforce Analytics Institute"/>
              <xsd:enumeration value="Workforce Metrics"/>
            </xsd:restriction>
          </xsd:simpleType>
        </xsd:union>
      </xsd:simpleType>
    </xsd:element>
    <xsd:element name="Talent_x0020_Mgmt_x0020__x0026__x0020_Careers_x0020_Offering" ma:index="29" nillable="true" ma:displayName="Talent Management Offering" ma:description="Apply an offering tag for each related document within this solution area." ma:format="Dropdown" ma:internalName="Talent_x0020_Mgmt_x0020__x0026__x0020_Careers_x0020_Offering">
      <xsd:simpleType>
        <xsd:union memberTypes="dms:Text">
          <xsd:simpleType>
            <xsd:restriction base="dms:Choice">
              <xsd:enumeration value="About Talent Management"/>
              <xsd:enumeration value="Career Frameworks"/>
              <xsd:enumeration value="Employee Research / engagement consulting"/>
              <xsd:enumeration value="Fuel 50 - Career Pathing Tool"/>
              <xsd:enumeration value="Human Capital Scan"/>
              <xsd:enumeration value="Inside Employees’ Minds"/>
              <xsd:enumeration value="Mercer Learning"/>
              <xsd:enumeration value="Organization Design"/>
              <xsd:enumeration value="Performance Management"/>
            </xsd:restriction>
          </xsd:simpleType>
        </xsd:union>
      </xsd:simpleType>
    </xsd:element>
    <xsd:element name="Methodology" ma:index="30" nillable="true" ma:displayName="Methodology" ma:internalName="Methodology">
      <xsd:simpleType>
        <xsd:restriction base="dms:Text">
          <xsd:maxLength value="255"/>
        </xsd:restriction>
      </xsd:simpleType>
    </xsd:element>
    <xsd:element name="Topic0" ma:index="31" nillable="true" ma:displayName="Topic" ma:internalName="Topic0">
      <xsd:simpleType>
        <xsd:restriction base="dms:Text">
          <xsd:maxLength value="255"/>
        </xsd:restriction>
      </xsd:simpleType>
    </xsd:element>
    <xsd:element name="SubTopic" ma:index="32" nillable="true" ma:displayName="SubTopic" ma:format="Dropdown" ma:internalName="SubTopic">
      <xsd:simpleType>
        <xsd:restriction base="dms:Choice">
          <xsd:enumeration value="CN-WFTF-Overview"/>
          <xsd:enumeration value="CN-WFTF-Future Readiness"/>
          <xsd:enumeration value="CN-WFTF-AI &amp; Automation"/>
          <xsd:enumeration value="CN-WFTF-New Work Expectations"/>
          <xsd:enumeration value="CN-WFTF-Future Skills"/>
          <xsd:enumeration value="CN-WFTF-Talent Agility"/>
          <xsd:enumeration value="CN-WFTF-Additional Resources"/>
          <xsd:enumeration value="CN-WFTF-Industry"/>
          <xsd:enumeration value="CN-WFTF-POV"/>
        </xsd:restriction>
      </xsd:simpleType>
    </xsd:element>
    <xsd:element name="Archive_x003f_" ma:index="34" nillable="true" ma:displayName="Archive?" ma:format="Dropdown" ma:internalName="Archive_x003f_">
      <xsd:simpleType>
        <xsd:restriction base="dms:Choice">
          <xsd:enumeration value="Yes"/>
          <xsd:enumeration value="No"/>
        </xsd:restriction>
      </xsd:simpleType>
    </xsd:element>
    <xsd:element name="Talent_x0020_KM_x0020_Comments" ma:index="35" nillable="true" ma:displayName="Talent KM Comments" ma:internalName="Talent_x0020_KM_x0020_Comments">
      <xsd:simpleType>
        <xsd:restriction base="dms:Note">
          <xsd:maxLength value="255"/>
        </xsd:restriction>
      </xsd:simpleType>
    </xsd:element>
    <xsd:element name="HR_x0020_Transformation" ma:index="38" nillable="true" ma:displayName="HR Transformation" ma:internalName="HR_x0020_Transformation">
      <xsd:simpleType>
        <xsd:restriction base="dms:Text">
          <xsd:maxLength value="255"/>
        </xsd:restriction>
      </xsd:simpleType>
    </xsd:element>
    <xsd:element name="LOP" ma:index="39" nillable="true" ma:displayName="Talent Strategy" ma:internalName="LOP">
      <xsd:simpleType>
        <xsd:restriction base="dms:Text">
          <xsd:maxLength value="255"/>
        </xsd:restriction>
      </xsd:simpleType>
    </xsd:element>
    <xsd:element name="WAP" ma:index="40" nillable="true" ma:displayName="Insights" ma:internalName="WAP">
      <xsd:simpleType>
        <xsd:restriction base="dms:Text">
          <xsd:maxLength value="255"/>
        </xsd:restriction>
      </xsd:simpleType>
    </xsd:element>
    <xsd:element name="Talent_x0020_Area" ma:index="41" nillable="true" ma:displayName="Talent Area" ma:description="Use this column to designate groupings for anything but practice or vertical" ma:internalName="Talent_x0020_Area">
      <xsd:simpleType>
        <xsd:restriction base="dms:Text">
          <xsd:maxLength value="75"/>
        </xsd:restriction>
      </xsd:simpleType>
    </xsd:element>
    <xsd:element name="_x002d__x002d__x002d__x003e_" ma:index="42" nillable="true" ma:displayName="---&gt;" ma:internalName="_x002d__x002d__x002d__x003e_">
      <xsd:simpleType>
        <xsd:restriction base="dms:Text">
          <xsd:maxLength value="255"/>
        </xsd:restriction>
      </xsd:simpleType>
    </xsd:element>
    <xsd:element name="_x002d__x002d__x003e_" ma:index="43" nillable="true" ma:displayName="--&gt;" ma:internalName="_x002d__x002d__x003e_">
      <xsd:simpleType>
        <xsd:restriction base="dms:Text">
          <xsd:maxLength value="255"/>
        </xsd:restriction>
      </xsd:simpleType>
    </xsd:element>
    <xsd:element name="_x002d__x003e_" ma:index="44" nillable="true" ma:displayName="-&gt;" ma:internalName="_x002d__x003e_">
      <xsd:simpleType>
        <xsd:restriction base="dms:Text">
          <xsd:maxLength value="255"/>
        </xsd:restriction>
      </xsd:simpleType>
    </xsd:element>
    <xsd:element name="_x002a_" ma:index="45" nillable="true" ma:displayName="*" ma:internalName="_x002a_">
      <xsd:simpleType>
        <xsd:restriction base="dms:Text">
          <xsd:maxLength value="255"/>
        </xsd:restriction>
      </xsd:simpleType>
    </xsd:element>
    <xsd:element name="_x003e__x003e_" ma:index="46" nillable="true" ma:displayName="&gt;&gt;" ma:internalName="_x003e__x003e_">
      <xsd:simpleType>
        <xsd:restriction base="dms:Text">
          <xsd:maxLength value="255"/>
        </xsd:restriction>
      </xsd:simpleType>
    </xsd:element>
    <xsd:element name="Offering" ma:index="47" nillable="true" ma:displayName="Offering" ma:internalName="Offering">
      <xsd:simpleType>
        <xsd:restriction base="dms:Text">
          <xsd:maxLength value="100"/>
        </xsd:restriction>
      </xsd:simpleType>
    </xsd:element>
    <xsd:element name="Archived_x0020_Site_x0020_Destinations" ma:index="48" nillable="true" ma:displayName="Archived Site Destinations" ma:description="Use for tagging content from site destination in archived folder" ma:internalName="Archived_x0020_Site_x0020_Destinations">
      <xsd:simpleType>
        <xsd:restriction base="dms:Text">
          <xsd:maxLength value="255"/>
        </xsd:restriction>
      </xsd:simpleType>
    </xsd:element>
    <xsd:element name="b635e4dd7f894467b6d929611bb76ed0" ma:index="74" nillable="true" ma:taxonomy="true" ma:internalName="b635e4dd7f894467b6d929611bb76ed0" ma:taxonomyFieldName="Model" ma:displayName="Biz Model" ma:default="" ma:fieldId="{b635e4dd-7f89-4467-b6d9-29611bb76ed0}" ma:sspId="b8e5891e-1b63-4f34-8594-9aa9ebb0afca" ma:termSetId="cc230c3f-1126-47f6-80fd-a09e6b737f82" ma:anchorId="00000000-0000-0000-0000-000000000000" ma:open="false" ma:isKeyword="false">
      <xsd:complexType>
        <xsd:sequence>
          <xsd:element ref="pc:Terms" minOccurs="0" maxOccurs="1"/>
        </xsd:sequence>
      </xsd:complexType>
    </xsd:element>
    <xsd:element name="eb314fc0b7864b21b257bc1e8f7743a3" ma:index="76" nillable="true" ma:taxonomy="true" ma:internalName="eb314fc0b7864b21b257bc1e8f7743a3" ma:taxonomyFieldName="Topic" ma:displayName="COIs and Product" ma:default="" ma:fieldId="{eb314fc0-b786-4b21-b257-bc1e8f7743a3}" ma:taxonomyMulti="true" ma:sspId="b8e5891e-1b63-4f34-8594-9aa9ebb0afca" ma:termSetId="42ca8396-cd88-40bd-9ca3-2dbdc83ad2b3" ma:anchorId="00000000-0000-0000-0000-000000000000" ma:open="false" ma:isKeyword="false">
      <xsd:complexType>
        <xsd:sequence>
          <xsd:element ref="pc:Terms" minOccurs="0" maxOccurs="1"/>
        </xsd:sequence>
      </xsd:complexType>
    </xsd:element>
    <xsd:element name="SortOrder" ma:index="78" nillable="true" ma:displayName="Sort Order" ma:decimals="0" ma:default="0" ma:hidden="true" ma:internalName="SortOrder" ma:readOnly="false">
      <xsd:simpleType>
        <xsd:restriction base="dms:Number"/>
      </xsd:simpleType>
    </xsd:element>
    <xsd:element name="Products_x0020_Offering" ma:index="83" nillable="true" ma:displayName="Products Offering" ma:internalName="Products_x0020_Offering">
      <xsd:simpleType>
        <xsd:restriction base="dms:Text">
          <xsd:maxLength value="255"/>
        </xsd:restriction>
      </xsd:simpleType>
    </xsd:element>
    <xsd:element name="Org_x0020_Design_x0020__x002d__x0020_Effectiveness_x0020_Offering" ma:index="84" nillable="true" ma:displayName="Org Design &amp; Effectiveness Offering" ma:format="Dropdown" ma:internalName="Org_x0020_Design_x0020__x002d__x0020_Effectiveness_x0020_Offering">
      <xsd:simpleType>
        <xsd:restriction base="dms:Choice">
          <xsd:enumeration value="Organization Design"/>
          <xsd:enumeration value="Effectivenes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9"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ongDescription xmlns="http://schemas.microsoft.com/sharepoint/v3" xsi:nil="true"/>
    <LOP xmlns="df0a2331-333b-43a4-85b1-b6cf6f52290e" xsi:nil="true"/>
    <Archive_x003f_ xmlns="df0a2331-333b-43a4-85b1-b6cf6f52290e" xsi:nil="true"/>
    <_x002d__x002d__x002d__x003e_ xmlns="df0a2331-333b-43a4-85b1-b6cf6f52290e" xsi:nil="true"/>
    <Offering xmlns="df0a2331-333b-43a4-85b1-b6cf6f52290e" xsi:nil="true"/>
    <LikesCount xmlns="http://schemas.microsoft.com/sharepoint/v3" xsi:nil="true"/>
    <_x002a_ xmlns="df0a2331-333b-43a4-85b1-b6cf6f52290e" xsi:nil="true"/>
    <b635e4dd7f894467b6d929611bb76ed0 xmlns="df0a2331-333b-43a4-85b1-b6cf6f52290e">
      <Terms xmlns="http://schemas.microsoft.com/office/infopath/2007/PartnerControls"/>
    </b635e4dd7f894467b6d929611bb76ed0>
    <WAP xmlns="df0a2331-333b-43a4-85b1-b6cf6f52290e" xsi:nil="true"/>
    <Talent_x0020_Area xmlns="df0a2331-333b-43a4-85b1-b6cf6f52290e" xsi:nil="true"/>
    <SortOrder xmlns="df0a2331-333b-43a4-85b1-b6cf6f52290e">0</SortOrder>
    <ib8dc5bb498b46b6a6e1be866c5d9a77 xmlns="bdb923d3-2dae-4f59-a8f7-ec97bb8a3e3e">
      <Terms xmlns="http://schemas.microsoft.com/office/infopath/2007/PartnerControls">
        <TermInfo xmlns="http://schemas.microsoft.com/office/infopath/2007/PartnerControls">
          <TermName xmlns="http://schemas.microsoft.com/office/infopath/2007/PartnerControls">Internal Use Only</TermName>
          <TermId xmlns="http://schemas.microsoft.com/office/infopath/2007/PartnerControls">f8dda801-fbda-438d-9497-510bf209c143</TermId>
        </TermInfo>
      </Terms>
    </ib8dc5bb498b46b6a6e1be866c5d9a77>
    <ee4955ea5f46493ea090289eeb898885 xmlns="bdb923d3-2dae-4f59-a8f7-ec97bb8a3e3e">
      <Terms xmlns="http://schemas.microsoft.com/office/infopath/2007/PartnerControls">
        <TermInfo xmlns="http://schemas.microsoft.com/office/infopath/2007/PartnerControls">
          <TermName xmlns="http://schemas.microsoft.com/office/infopath/2007/PartnerControls">Career : Cardev_home</TermName>
          <TermId xmlns="http://schemas.microsoft.com/office/infopath/2007/PartnerControls">cf6cd93d-fa0f-4db0-8ee8-80df3c7d0845</TermId>
        </TermInfo>
      </Terms>
    </ee4955ea5f46493ea090289eeb898885>
    <n5c12090629b43ed950c8a8ea8024a01 xmlns="bdb923d3-2dae-4f59-a8f7-ec97bb8a3e3e">
      <Terms xmlns="http://schemas.microsoft.com/office/infopath/2007/PartnerControls">
        <TermInfo xmlns="http://schemas.microsoft.com/office/infopath/2007/PartnerControls">
          <TermName xmlns="http://schemas.microsoft.com/office/infopath/2007/PartnerControls">Poland</TermName>
          <TermId xmlns="http://schemas.microsoft.com/office/infopath/2007/PartnerControls">59fee15c-8c42-42ba-94fd-7a338160492c</TermId>
        </TermInfo>
      </Terms>
    </n5c12090629b43ed950c8a8ea8024a01>
    <_x003e__x003e_ xmlns="df0a2331-333b-43a4-85b1-b6cf6f52290e" xsi:nil="true"/>
    <i89941779df944b7933201f69616fe79 xmlns="bdb923d3-2dae-4f59-a8f7-ec97bb8a3e3e">
      <Terms xmlns="http://schemas.microsoft.com/office/infopath/2007/PartnerControls"/>
    </i89941779df944b7933201f69616fe79>
    <IconOverlay xmlns="http://schemas.microsoft.com/sharepoint/v4" xsi:nil="true"/>
    <TaxCatchAll xmlns="c3ab07d4-6f6c-474a-8899-85c49e0a7574">
      <Value>31</Value>
      <Value>29</Value>
      <Value>1534</Value>
      <Value>95</Value>
      <Value>5089</Value>
      <Value>14</Value>
      <Value>3</Value>
      <Value>3077</Value>
    </TaxCatchAll>
    <b548d78c18aa410aaeb9e52c75e08cb4 xmlns="bdb923d3-2dae-4f59-a8f7-ec97bb8a3e3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6cbd0285-a6f5-4334-a5df-890e3770f5a6</TermId>
        </TermInfo>
      </Terms>
    </b548d78c18aa410aaeb9e52c75e08cb4>
    <Ratings xmlns="http://schemas.microsoft.com/sharepoint/v3" xsi:nil="true"/>
    <ShortDescription xmlns="http://schemas.microsoft.com/sharepoint/v3">Excel advanced training materials</ShortDescription>
    <m37c88395a1e44c7be99d6343ff0ca58 xmlns="c3ab07d4-6f6c-474a-8899-85c49e0a7574">
      <Terms xmlns="http://schemas.microsoft.com/office/infopath/2007/PartnerControls">
        <TermInfo xmlns="http://schemas.microsoft.com/office/infopath/2007/PartnerControls">
          <TermName xmlns="http://schemas.microsoft.com/office/infopath/2007/PartnerControls">Europe</TermName>
          <TermId xmlns="http://schemas.microsoft.com/office/infopath/2007/PartnerControls">4de63f35-bbbe-42b3-8bf3-15d9c95e8528</TermId>
        </TermInfo>
      </Terms>
    </m37c88395a1e44c7be99d6343ff0ca58>
    <URL xmlns="http://schemas.microsoft.com/sharepoint/v3">
      <Url xsi:nil="true"/>
      <Description xsi:nil="true"/>
    </URL>
    <a378d28b95fa4be593f4059f8302acce xmlns="bdb923d3-2dae-4f59-a8f7-ec97bb8a3e3e">
      <Terms xmlns="http://schemas.microsoft.com/office/infopath/2007/PartnerControls">
        <TermInfo xmlns="http://schemas.microsoft.com/office/infopath/2007/PartnerControls">
          <TermName xmlns="http://schemas.microsoft.com/office/infopath/2007/PartnerControls">Career</TermName>
          <TermId xmlns="http://schemas.microsoft.com/office/infopath/2007/PartnerControls">0fc14a82-3d5f-4629-818a-80dcb9e0f296</TermId>
        </TermInfo>
      </Terms>
    </a378d28b95fa4be593f4059f8302acce>
    <KeyContent xmlns="bdb923d3-2dae-4f59-a8f7-ec97bb8a3e3e">false</KeyContent>
    <b3d886580aed4f8f9310c57d6c0f6252 xmlns="bdb923d3-2dae-4f59-a8f7-ec97bb8a3e3e">
      <Terms xmlns="http://schemas.microsoft.com/office/infopath/2007/PartnerControls">
        <TermInfo xmlns="http://schemas.microsoft.com/office/infopath/2007/PartnerControls">
          <TermName xmlns="http://schemas.microsoft.com/office/infopath/2007/PartnerControls">Learn</TermName>
          <TermId xmlns="http://schemas.microsoft.com/office/infopath/2007/PartnerControls">d49fa0da-8757-44c1-ab86-a8b2e03dd21a</TermId>
        </TermInfo>
      </Terms>
    </b3d886580aed4f8f9310c57d6c0f6252>
    <LikedBy xmlns="http://schemas.microsoft.com/sharepoint/v3">
      <UserInfo>
        <DisplayName/>
        <AccountId xsi:nil="true"/>
        <AccountType/>
      </UserInfo>
    </LikedBy>
    <Contact xmlns="8d28a039-4b9d-4dfe-9092-eac57b8133fb">
      <UserInfo>
        <DisplayName>Mojkowska, Marta</DisplayName>
        <AccountId>23355</AccountId>
        <AccountType/>
      </UserInfo>
    </Contact>
    <_x002d__x003e_ xmlns="df0a2331-333b-43a4-85b1-b6cf6f52290e" xsi:nil="true"/>
    <Audience xmlns="http://schemas.microsoft.com/sharepoint/v3" xsi:nil="true"/>
    <l7a6cebbe25145b0815d49b4cefd2c02 xmlns="bdb923d3-2dae-4f59-a8f7-ec97bb8a3e3e">
      <Terms xmlns="http://schemas.microsoft.com/office/infopath/2007/PartnerControls"/>
    </l7a6cebbe25145b0815d49b4cefd2c02>
    <HR_x0020_Transformation xmlns="df0a2331-333b-43a4-85b1-b6cf6f52290e" xsi:nil="true"/>
    <_x002d__x002d__x003e_ xmlns="df0a2331-333b-43a4-85b1-b6cf6f52290e" xsi:nil="true"/>
    <mf08c2ce67b946efbd8cf897405ea695 xmlns="bdb923d3-2dae-4f59-a8f7-ec97bb8a3e3e">
      <Terms xmlns="http://schemas.microsoft.com/office/infopath/2007/PartnerControls"/>
    </mf08c2ce67b946efbd8cf897405ea695>
    <Year xmlns="df0a2331-333b-43a4-85b1-b6cf6f52290e" xsi:nil="true"/>
    <Archived_x0020_Site_x0020_Destinations xmlns="df0a2331-333b-43a4-85b1-b6cf6f52290e" xsi:nil="true"/>
    <Date xmlns="http://schemas.microsoft.com/sharepoint/v3/fields">2018-12-04T06:00:00+00:00</Date>
    <Talent_x0020_KM_x0020_Comments xmlns="df0a2331-333b-43a4-85b1-b6cf6f52290e" xsi:nil="true"/>
    <h755275ce3fa494097da4c3fd648a298 xmlns="bdb923d3-2dae-4f59-a8f7-ec97bb8a3e3e">
      <Terms xmlns="http://schemas.microsoft.com/office/infopath/2007/PartnerControls">
        <TermInfo xmlns="http://schemas.microsoft.com/office/infopath/2007/PartnerControls">
          <TermName xmlns="http://schemas.microsoft.com/office/infopath/2007/PartnerControls">Learning guide</TermName>
          <TermId xmlns="http://schemas.microsoft.com/office/infopath/2007/PartnerControls">bcbe1ae7-7d05-4063-b493-a0ee476437cf</TermId>
        </TermInfo>
      </Terms>
    </h755275ce3fa494097da4c3fd648a298>
    <eb314fc0b7864b21b257bc1e8f7743a3 xmlns="df0a2331-333b-43a4-85b1-b6cf6f52290e">
      <Terms xmlns="http://schemas.microsoft.com/office/infopath/2007/PartnerControls"/>
    </eb314fc0b7864b21b257bc1e8f7743a3>
    <RatedBy xmlns="http://schemas.microsoft.com/sharepoint/v3">
      <UserInfo>
        <DisplayName/>
        <AccountId xsi:nil="true"/>
        <AccountType/>
      </UserInfo>
    </RatedBy>
    <_dlc_DocId xmlns="bdb923d3-2dae-4f59-a8f7-ec97bb8a3e3e">HVCONTENT-766328222-26067</_dlc_DocId>
    <_dlc_DocIdUrl xmlns="bdb923d3-2dae-4f59-a8f7-ec97bb8a3e3e">
      <Url>http://content.mercer.com/_layouts/15/DocIdRedir.aspx?ID=HVCONTENT-766328222-26067</Url>
      <Description>HVCONTENT-766328222-26067</Description>
    </_dlc_DocIdUrl>
    <HR_x0020_Transformation_x0020_Offering xmlns="df0a2331-333b-43a4-85b1-b6cf6f52290e" xsi:nil="true"/>
    <Assessment_x0020__x0026__x0020_Development_x0020_Offering xmlns="df0a2331-333b-43a4-85b1-b6cf6f52290e" xsi:nil="true"/>
    <Employee_x0020_Communication_x0020_Offering xmlns="df0a2331-333b-43a4-85b1-b6cf6f52290e" xsi:nil="true"/>
    <Executive_x0020_Rewards_x0020_Offering xmlns="df0a2331-333b-43a4-85b1-b6cf6f52290e" xsi:nil="true"/>
    <Workforce_x0020__x002d__x0020_Job_x0020_Achitecture_x0020_Offering xmlns="df0a2331-333b-43a4-85b1-b6cf6f52290e" xsi:nil="true"/>
    <Change_x0020_Management_x0020_Offering xmlns="df0a2331-333b-43a4-85b1-b6cf6f52290e" xsi:nil="true"/>
    <Employee_x0020_Rewards_x0020_Offering xmlns="df0a2331-333b-43a4-85b1-b6cf6f52290e" xsi:nil="true"/>
    <Mobility_x0020_Offering xmlns="df0a2331-333b-43a4-85b1-b6cf6f52290e" xsi:nil="true"/>
    <Digital_x0020_Implmentation_x0020_Offering xmlns="df0a2331-333b-43a4-85b1-b6cf6f52290e" xsi:nil="true"/>
    <Talent_x0020_Mgmt_x0020__x0026__x0020_Careers_x0020_Offering xmlns="df0a2331-333b-43a4-85b1-b6cf6f52290e" xsi:nil="true"/>
    <Strategy_x0020__x0026__x0020_Workforce_x0020_Analytics_x0020_Offering xmlns="df0a2331-333b-43a4-85b1-b6cf6f52290e" xsi:nil="true"/>
    <Topic0 xmlns="df0a2331-333b-43a4-85b1-b6cf6f52290e" xsi:nil="true"/>
    <SubTopic xmlns="df0a2331-333b-43a4-85b1-b6cf6f52290e" xsi:nil="true"/>
    <Employee_x0020_Voice_x002f_Engagement_x0020_Offering xmlns="df0a2331-333b-43a4-85b1-b6cf6f52290e"/>
    <Methodology xmlns="df0a2331-333b-43a4-85b1-b6cf6f52290e" xsi:nil="true"/>
    <Products_x0020_Offering xmlns="df0a2331-333b-43a4-85b1-b6cf6f52290e" xsi:nil="true"/>
    <Org_x0020_Design_x0020__x002d__x0020_Effectiveness_x0020_Offering xmlns="df0a2331-333b-43a4-85b1-b6cf6f52290e" xsi:nil="true"/>
  </documentManagement>
</p:properties>
</file>

<file path=customXml/itemProps1.xml><?xml version="1.0" encoding="utf-8"?>
<ds:datastoreItem xmlns:ds="http://schemas.openxmlformats.org/officeDocument/2006/customXml" ds:itemID="{4FAB9223-B79F-416C-A290-2D274A0F0416}">
  <ds:schemaRefs>
    <ds:schemaRef ds:uri="http://schemas.microsoft.com/sharepoint/events"/>
  </ds:schemaRefs>
</ds:datastoreItem>
</file>

<file path=customXml/itemProps2.xml><?xml version="1.0" encoding="utf-8"?>
<ds:datastoreItem xmlns:ds="http://schemas.openxmlformats.org/officeDocument/2006/customXml" ds:itemID="{9A3D1BDA-BBCC-4A4B-80F2-D0BE050E86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8d28a039-4b9d-4dfe-9092-eac57b8133fb"/>
    <ds:schemaRef ds:uri="bdb923d3-2dae-4f59-a8f7-ec97bb8a3e3e"/>
    <ds:schemaRef ds:uri="c3ab07d4-6f6c-474a-8899-85c49e0a7574"/>
    <ds:schemaRef ds:uri="df0a2331-333b-43a4-85b1-b6cf6f52290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46778-EA7A-4F1E-97B3-0443E544BCF4}">
  <ds:schemaRefs>
    <ds:schemaRef ds:uri="http://schemas.microsoft.com/sharepoint/v3/contenttype/forms"/>
  </ds:schemaRefs>
</ds:datastoreItem>
</file>

<file path=customXml/itemProps4.xml><?xml version="1.0" encoding="utf-8"?>
<ds:datastoreItem xmlns:ds="http://schemas.openxmlformats.org/officeDocument/2006/customXml" ds:itemID="{F256A82A-0186-42AC-855B-F7E396A1CFE5}">
  <ds:schemaRefs>
    <ds:schemaRef ds:uri="http://schemas.microsoft.com/office/infopath/2007/PartnerControls"/>
    <ds:schemaRef ds:uri="http://purl.org/dc/terms/"/>
    <ds:schemaRef ds:uri="http://schemas.openxmlformats.org/package/2006/metadata/core-properties"/>
    <ds:schemaRef ds:uri="c3ab07d4-6f6c-474a-8899-85c49e0a7574"/>
    <ds:schemaRef ds:uri="http://schemas.microsoft.com/office/2006/documentManagement/types"/>
    <ds:schemaRef ds:uri="8d28a039-4b9d-4dfe-9092-eac57b8133fb"/>
    <ds:schemaRef ds:uri="http://schemas.microsoft.com/sharepoint/v4"/>
    <ds:schemaRef ds:uri="http://schemas.microsoft.com/sharepoint/v3"/>
    <ds:schemaRef ds:uri="http://purl.org/dc/elements/1.1/"/>
    <ds:schemaRef ds:uri="http://schemas.microsoft.com/office/2006/metadata/properties"/>
    <ds:schemaRef ds:uri="df0a2331-333b-43a4-85b1-b6cf6f52290e"/>
    <ds:schemaRef ds:uri="bdb923d3-2dae-4f59-a8f7-ec97bb8a3e3e"/>
    <ds:schemaRef ds:uri="http://schemas.microsoft.com/sharepoint/v3/field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Exercise #1</vt:lpstr>
      <vt:lpstr>Lookup Formulas</vt:lpstr>
      <vt:lpstr>Exercise #2</vt:lpstr>
      <vt:lpstr>Key | Exercise #2</vt:lpstr>
      <vt:lpstr>Logical Formulas</vt:lpstr>
      <vt:lpstr>Exercise #3</vt:lpstr>
      <vt:lpstr>Key | Exercise #3</vt:lpstr>
      <vt:lpstr>Math and Stats Formulas</vt:lpstr>
      <vt:lpstr>Exercise #4</vt:lpstr>
      <vt:lpstr>Key | Exercise #4</vt:lpstr>
      <vt:lpstr>Text Formulas</vt:lpstr>
      <vt:lpstr>General Shortcuts</vt:lpstr>
      <vt:lpstr>Exercise #5</vt:lpstr>
      <vt:lpstr>Key | Exercise #5</vt:lpstr>
      <vt:lpstr>Formatting Shortcuts</vt:lpstr>
      <vt:lpstr>Exercise #6 Data</vt:lpstr>
      <vt:lpstr>Exercise #6</vt:lpstr>
      <vt:lpstr>Key | Exercise #6</vt:lpstr>
      <vt:lpstr>Conditional Formatting &amp; DV</vt:lpstr>
      <vt:lpstr>E6_Census</vt:lpstr>
      <vt:lpstr>E6_CensusBase</vt:lpstr>
      <vt:lpstr>E6_CensusDepartment</vt:lpstr>
      <vt:lpstr>E6_CensusGender</vt:lpstr>
      <vt:lpstr>E6_CensusHDR</vt:lpstr>
      <vt:lpstr>E6_CensusID</vt:lpstr>
      <vt:lpstr>E6_CensusPerformance</vt:lpstr>
      <vt:lpstr>Sample_Data</vt:lpstr>
      <vt:lpstr>Sample_Header</vt:lpstr>
      <vt:lpstr>Sample_Name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Training Tool</dc:title>
  <dc:creator/>
  <cp:lastModifiedBy>Nicholas Anderson</cp:lastModifiedBy>
  <dcterms:created xsi:type="dcterms:W3CDTF">2017-07-07T12:10:50Z</dcterms:created>
  <dcterms:modified xsi:type="dcterms:W3CDTF">2025-04-07T20:21:08Z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0x010100EBE3A391EF4F744395BBA6A103F895DB0900996117903792D54E96FC711211AF6862</vt:lpwstr>
  </property>
  <property fmtid="{D5CDD505-2E9C-101B-9397-08002B2CF9AE}" pid="3" name="_dlc_DocIdItemGuid">
    <vt:lpwstr>ab028e73-c00f-45b3-a3d2-7682c205b17b</vt:lpwstr>
  </property>
  <property fmtid="{D5CDD505-2E9C-101B-9397-08002B2CF9AE}" pid="4" name="Countries">
    <vt:lpwstr>95;#Poland|59fee15c-8c42-42ba-94fd-7a338160492c</vt:lpwstr>
  </property>
  <property fmtid="{D5CDD505-2E9C-101B-9397-08002B2CF9AE}" pid="5" name="Topic">
    <vt:lpwstr/>
  </property>
  <property fmtid="{D5CDD505-2E9C-101B-9397-08002B2CF9AE}" pid="6" name="SolutionPortfolios">
    <vt:lpwstr/>
  </property>
  <property fmtid="{D5CDD505-2E9C-101B-9397-08002B2CF9AE}" pid="7" name="Activity">
    <vt:lpwstr>29;#Learn|d49fa0da-8757-44c1-ab86-a8b2e03dd21a</vt:lpwstr>
  </property>
  <property fmtid="{D5CDD505-2E9C-101B-9397-08002B2CF9AE}" pid="8" name="Region">
    <vt:lpwstr>3;#Europe|4de63f35-bbbe-42b3-8bf3-15d9c95e8528</vt:lpwstr>
  </property>
  <property fmtid="{D5CDD505-2E9C-101B-9397-08002B2CF9AE}" pid="9" name="Disclaimer">
    <vt:lpwstr>3077;#Internal Use Only|f8dda801-fbda-438d-9497-510bf209c143</vt:lpwstr>
  </property>
  <property fmtid="{D5CDD505-2E9C-101B-9397-08002B2CF9AE}" pid="10" name="Industries">
    <vt:lpwstr/>
  </property>
  <property fmtid="{D5CDD505-2E9C-101B-9397-08002B2CF9AE}" pid="11" name="LOBs">
    <vt:lpwstr>14;#Career|0fc14a82-3d5f-4629-818a-80dcb9e0f296</vt:lpwstr>
  </property>
  <property fmtid="{D5CDD505-2E9C-101B-9397-08002B2CF9AE}" pid="12" name="Model">
    <vt:lpwstr/>
  </property>
  <property fmtid="{D5CDD505-2E9C-101B-9397-08002B2CF9AE}" pid="13" name="Languages">
    <vt:lpwstr>31;#English|6cbd0285-a6f5-4334-a5df-890e3770f5a6</vt:lpwstr>
  </property>
  <property fmtid="{D5CDD505-2E9C-101B-9397-08002B2CF9AE}" pid="14" name="AssetType">
    <vt:lpwstr>5089;#Learning guide|bcbe1ae7-7d05-4063-b493-a0ee476437cf</vt:lpwstr>
  </property>
  <property fmtid="{D5CDD505-2E9C-101B-9397-08002B2CF9AE}" pid="15" name="StandardDestinations">
    <vt:lpwstr/>
  </property>
  <property fmtid="{D5CDD505-2E9C-101B-9397-08002B2CF9AE}" pid="16" name="SiteDestinations">
    <vt:lpwstr>1534;#Career : Cardev_home|cf6cd93d-fa0f-4db0-8ee8-80df3c7d0845</vt:lpwstr>
  </property>
  <property fmtid="{D5CDD505-2E9C-101B-9397-08002B2CF9AE}" pid="17" name="MMCOA_TemplateVersion">
    <vt:lpwstr>8.1.2</vt:lpwstr>
  </property>
  <property fmtid="{D5CDD505-2E9C-101B-9397-08002B2CF9AE}" pid="18" name="MMCOA_UI_Language">
    <vt:lpwstr>en-US</vt:lpwstr>
  </property>
  <property fmtid="{D5CDD505-2E9C-101B-9397-08002B2CF9AE}" pid="19" name="MMCOA_BaseCo">
    <vt:lpwstr>MER</vt:lpwstr>
  </property>
  <property fmtid="{D5CDD505-2E9C-101B-9397-08002B2CF9AE}" pid="20" name="MMCOA_Brand">
    <vt:lpwstr>MER2020</vt:lpwstr>
  </property>
  <property fmtid="{D5CDD505-2E9C-101B-9397-08002B2CF9AE}" pid="21" name="MMCOA_RegCo">
    <vt:lpwstr>305</vt:lpwstr>
  </property>
  <property fmtid="{D5CDD505-2E9C-101B-9397-08002B2CF9AE}" pid="22" name="MMCOA_Language">
    <vt:lpwstr>en-US</vt:lpwstr>
  </property>
  <property fmtid="{D5CDD505-2E9C-101B-9397-08002B2CF9AE}" pid="23" name="MMCOA_LanguageDateFormat">
    <vt:lpwstr>MMMM d, yyyy</vt:lpwstr>
  </property>
  <property fmtid="{D5CDD505-2E9C-101B-9397-08002B2CF9AE}" pid="24" name="MMCOA_LanguageLocaleId">
    <vt:lpwstr>1033</vt:lpwstr>
  </property>
  <property fmtid="{D5CDD505-2E9C-101B-9397-08002B2CF9AE}" pid="25" name="MMCOA_TableStyles">
    <vt:lpwstr>Mercer-All Gridlines;Mercer-Banded Rows-No Gridlines;Mercer-Banded Rows-Vert Gridlines;Mercer-Horiz Gridlines Only</vt:lpwstr>
  </property>
  <property fmtid="{D5CDD505-2E9C-101B-9397-08002B2CF9AE}" pid="26" name="MMCOA_DefaultTableStyle">
    <vt:lpwstr>Mercer-Banded Rows-No Gridlines</vt:lpwstr>
  </property>
  <property fmtid="{D5CDD505-2E9C-101B-9397-08002B2CF9AE}" pid="27" name="MMCOA_LogoImageFileName">
    <vt:lpwstr>MER_WSTD.Colour.png</vt:lpwstr>
  </property>
  <property fmtid="{D5CDD505-2E9C-101B-9397-08002B2CF9AE}" pid="28" name="MMCOA_EndorsementImageFileName">
    <vt:lpwstr>MMC_WEND2.Colour.png</vt:lpwstr>
  </property>
  <property fmtid="{D5CDD505-2E9C-101B-9397-08002B2CF9AE}" pid="29" name="MSIP_Label_38f1469a-2c2a-4aee-b92b-090d4c5468ff_Enabled">
    <vt:lpwstr>true</vt:lpwstr>
  </property>
  <property fmtid="{D5CDD505-2E9C-101B-9397-08002B2CF9AE}" pid="30" name="MSIP_Label_38f1469a-2c2a-4aee-b92b-090d4c5468ff_SetDate">
    <vt:lpwstr>2022-12-07T15:54:56Z</vt:lpwstr>
  </property>
  <property fmtid="{D5CDD505-2E9C-101B-9397-08002B2CF9AE}" pid="31" name="MSIP_Label_38f1469a-2c2a-4aee-b92b-090d4c5468ff_Method">
    <vt:lpwstr>Standard</vt:lpwstr>
  </property>
  <property fmtid="{D5CDD505-2E9C-101B-9397-08002B2CF9AE}" pid="32" name="MSIP_Label_38f1469a-2c2a-4aee-b92b-090d4c5468ff_Name">
    <vt:lpwstr>Confidential - Unmarked</vt:lpwstr>
  </property>
  <property fmtid="{D5CDD505-2E9C-101B-9397-08002B2CF9AE}" pid="33" name="MSIP_Label_38f1469a-2c2a-4aee-b92b-090d4c5468ff_SiteId">
    <vt:lpwstr>2a6e6092-73e4-4752-b1a5-477a17f5056d</vt:lpwstr>
  </property>
  <property fmtid="{D5CDD505-2E9C-101B-9397-08002B2CF9AE}" pid="34" name="MSIP_Label_38f1469a-2c2a-4aee-b92b-090d4c5468ff_ActionId">
    <vt:lpwstr>f2790555-bc8c-4dde-a897-72ab30b152d8</vt:lpwstr>
  </property>
  <property fmtid="{D5CDD505-2E9C-101B-9397-08002B2CF9AE}" pid="35" name="MSIP_Label_38f1469a-2c2a-4aee-b92b-090d4c5468ff_ContentBits">
    <vt:lpwstr>0</vt:lpwstr>
  </property>
</Properties>
</file>